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事務所内文書\継続MAS\"/>
    </mc:Choice>
  </mc:AlternateContent>
  <xr:revisionPtr revIDLastSave="0" documentId="13_ncr:1_{A998F4F8-892C-44EC-8B7D-9A66D23C7FCB}" xr6:coauthVersionLast="47" xr6:coauthVersionMax="47" xr10:uidLastSave="{00000000-0000-0000-0000-000000000000}"/>
  <bookViews>
    <workbookView xWindow="20370" yWindow="-2655" windowWidth="29040" windowHeight="15720" xr2:uid="{6F6AF36A-F830-472F-A9E7-22B211A6D3FB}"/>
  </bookViews>
  <sheets>
    <sheet name="継続MAS参考エクセル　製造原価使う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1" l="1"/>
  <c r="F60" i="1"/>
  <c r="F113" i="1"/>
  <c r="D112" i="1"/>
  <c r="G111" i="1" s="1"/>
  <c r="I59" i="1"/>
  <c r="F19" i="1"/>
  <c r="F40" i="1" s="1"/>
  <c r="K3" i="1"/>
  <c r="K4" i="1"/>
  <c r="K5" i="1"/>
  <c r="K6" i="1"/>
  <c r="K12" i="1"/>
  <c r="K13" i="1"/>
  <c r="K14" i="1"/>
  <c r="K15" i="1"/>
  <c r="K16" i="1"/>
  <c r="K17" i="1"/>
  <c r="K18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2" i="1"/>
  <c r="K43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4" i="1"/>
  <c r="K85" i="1"/>
  <c r="K86" i="1"/>
  <c r="K87" i="1"/>
  <c r="K88" i="1"/>
  <c r="K90" i="1"/>
  <c r="K91" i="1"/>
  <c r="K92" i="1"/>
  <c r="K93" i="1"/>
  <c r="K94" i="1"/>
  <c r="K95" i="1"/>
  <c r="K96" i="1"/>
  <c r="K101" i="1"/>
  <c r="K102" i="1"/>
  <c r="K104" i="1"/>
  <c r="K105" i="1"/>
  <c r="K106" i="1"/>
  <c r="K107" i="1"/>
  <c r="K109" i="1"/>
  <c r="K110" i="1"/>
  <c r="K111" i="1"/>
  <c r="K2" i="1"/>
  <c r="H3" i="1"/>
  <c r="H4" i="1"/>
  <c r="H5" i="1"/>
  <c r="H6" i="1"/>
  <c r="H12" i="1"/>
  <c r="H13" i="1"/>
  <c r="H14" i="1"/>
  <c r="H15" i="1"/>
  <c r="H16" i="1"/>
  <c r="H17" i="1"/>
  <c r="H18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2" i="1"/>
  <c r="H43" i="1"/>
  <c r="H45" i="1"/>
  <c r="H46" i="1"/>
  <c r="H47" i="1"/>
  <c r="H48" i="1"/>
  <c r="H49" i="1"/>
  <c r="H50" i="1"/>
  <c r="H51" i="1"/>
  <c r="H53" i="1"/>
  <c r="H54" i="1"/>
  <c r="H55" i="1"/>
  <c r="H56" i="1"/>
  <c r="H57" i="1"/>
  <c r="H58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4" i="1"/>
  <c r="H85" i="1"/>
  <c r="H86" i="1"/>
  <c r="H87" i="1"/>
  <c r="H88" i="1"/>
  <c r="H90" i="1"/>
  <c r="H91" i="1"/>
  <c r="H92" i="1"/>
  <c r="H93" i="1"/>
  <c r="H94" i="1"/>
  <c r="H95" i="1"/>
  <c r="H96" i="1"/>
  <c r="H101" i="1"/>
  <c r="H102" i="1"/>
  <c r="H104" i="1"/>
  <c r="H105" i="1"/>
  <c r="H106" i="1"/>
  <c r="H107" i="1"/>
  <c r="H109" i="1"/>
  <c r="H110" i="1"/>
  <c r="H111" i="1"/>
  <c r="H2" i="1"/>
  <c r="I112" i="1"/>
  <c r="I108" i="1"/>
  <c r="I113" i="1" s="1"/>
  <c r="I103" i="1"/>
  <c r="I97" i="1"/>
  <c r="I89" i="1"/>
  <c r="I83" i="1"/>
  <c r="I52" i="1"/>
  <c r="I60" i="1" s="1"/>
  <c r="I39" i="1"/>
  <c r="I23" i="1"/>
  <c r="I19" i="1"/>
  <c r="I11" i="1"/>
  <c r="I7" i="1"/>
  <c r="F112" i="1"/>
  <c r="F108" i="1"/>
  <c r="F103" i="1"/>
  <c r="F97" i="1"/>
  <c r="F89" i="1"/>
  <c r="F83" i="1"/>
  <c r="F59" i="1"/>
  <c r="F52" i="1"/>
  <c r="H52" i="1" s="1"/>
  <c r="F44" i="1"/>
  <c r="F39" i="1"/>
  <c r="F23" i="1"/>
  <c r="H23" i="1" s="1"/>
  <c r="F7" i="1"/>
  <c r="D108" i="1"/>
  <c r="G101" i="1"/>
  <c r="D97" i="1"/>
  <c r="G90" i="1" s="1"/>
  <c r="D89" i="1"/>
  <c r="J85" i="1" s="1"/>
  <c r="D83" i="1"/>
  <c r="J79" i="1" s="1"/>
  <c r="D59" i="1"/>
  <c r="D52" i="1"/>
  <c r="D44" i="1"/>
  <c r="D60" i="1" s="1"/>
  <c r="D23" i="1"/>
  <c r="K23" i="1" s="1"/>
  <c r="D39" i="1"/>
  <c r="J36" i="1" s="1"/>
  <c r="D19" i="1"/>
  <c r="D11" i="1"/>
  <c r="D7" i="1"/>
  <c r="J5" i="1" s="1"/>
  <c r="K52" i="1" l="1"/>
  <c r="I40" i="1"/>
  <c r="I41" i="1" s="1"/>
  <c r="J41" i="1" s="1"/>
  <c r="D113" i="1"/>
  <c r="G102" i="1"/>
  <c r="G103" i="1" s="1"/>
  <c r="H103" i="1"/>
  <c r="K103" i="1"/>
  <c r="G94" i="1"/>
  <c r="G95" i="1"/>
  <c r="J91" i="1"/>
  <c r="E86" i="1"/>
  <c r="J87" i="1"/>
  <c r="K89" i="1"/>
  <c r="G84" i="1"/>
  <c r="D98" i="1"/>
  <c r="G85" i="1"/>
  <c r="G86" i="1"/>
  <c r="G87" i="1"/>
  <c r="E85" i="1"/>
  <c r="G88" i="1"/>
  <c r="E88" i="1"/>
  <c r="E84" i="1"/>
  <c r="E87" i="1"/>
  <c r="J86" i="1"/>
  <c r="G29" i="1"/>
  <c r="E30" i="1"/>
  <c r="J33" i="1"/>
  <c r="K39" i="1"/>
  <c r="H7" i="1"/>
  <c r="E29" i="1"/>
  <c r="G30" i="1"/>
  <c r="J37" i="1"/>
  <c r="H39" i="1"/>
  <c r="G35" i="1"/>
  <c r="E96" i="1"/>
  <c r="J28" i="1"/>
  <c r="G25" i="1"/>
  <c r="E33" i="1"/>
  <c r="G26" i="1"/>
  <c r="G91" i="1"/>
  <c r="J30" i="1"/>
  <c r="K97" i="1"/>
  <c r="E26" i="1"/>
  <c r="E37" i="1"/>
  <c r="K112" i="1"/>
  <c r="J26" i="1"/>
  <c r="E90" i="1"/>
  <c r="J27" i="1"/>
  <c r="E35" i="1"/>
  <c r="G37" i="1"/>
  <c r="J31" i="1"/>
  <c r="J84" i="1"/>
  <c r="J101" i="1"/>
  <c r="E38" i="1"/>
  <c r="G33" i="1"/>
  <c r="J25" i="1"/>
  <c r="G34" i="1"/>
  <c r="J38" i="1"/>
  <c r="J92" i="1"/>
  <c r="E36" i="1"/>
  <c r="J93" i="1"/>
  <c r="G36" i="1"/>
  <c r="G109" i="1"/>
  <c r="G112" i="1" s="1"/>
  <c r="J94" i="1"/>
  <c r="E34" i="1"/>
  <c r="E94" i="1"/>
  <c r="G110" i="1"/>
  <c r="J29" i="1"/>
  <c r="J95" i="1"/>
  <c r="E93" i="1"/>
  <c r="G38" i="1"/>
  <c r="E32" i="1"/>
  <c r="E72" i="1"/>
  <c r="E92" i="1"/>
  <c r="G27" i="1"/>
  <c r="G92" i="1"/>
  <c r="K11" i="1"/>
  <c r="E31" i="1"/>
  <c r="E91" i="1"/>
  <c r="G28" i="1"/>
  <c r="G93" i="1"/>
  <c r="J6" i="1"/>
  <c r="J32" i="1"/>
  <c r="J102" i="1"/>
  <c r="J34" i="1"/>
  <c r="E28" i="1"/>
  <c r="G31" i="1"/>
  <c r="G96" i="1"/>
  <c r="J35" i="1"/>
  <c r="J110" i="1"/>
  <c r="E25" i="1"/>
  <c r="E27" i="1"/>
  <c r="E102" i="1"/>
  <c r="G32" i="1"/>
  <c r="H97" i="1"/>
  <c r="J90" i="1"/>
  <c r="J111" i="1"/>
  <c r="I98" i="1"/>
  <c r="I99" i="1" s="1"/>
  <c r="J40" i="1"/>
  <c r="F98" i="1"/>
  <c r="F99" i="1" s="1"/>
  <c r="G99" i="1" s="1"/>
  <c r="H89" i="1"/>
  <c r="G40" i="1"/>
  <c r="E109" i="1"/>
  <c r="H112" i="1"/>
  <c r="E111" i="1"/>
  <c r="E110" i="1"/>
  <c r="J109" i="1"/>
  <c r="G104" i="1"/>
  <c r="E104" i="1"/>
  <c r="G105" i="1"/>
  <c r="E107" i="1"/>
  <c r="G106" i="1"/>
  <c r="J104" i="1"/>
  <c r="E106" i="1"/>
  <c r="G107" i="1"/>
  <c r="J105" i="1"/>
  <c r="E105" i="1"/>
  <c r="J106" i="1"/>
  <c r="J107" i="1"/>
  <c r="E101" i="1"/>
  <c r="E103" i="1" s="1"/>
  <c r="J96" i="1"/>
  <c r="E95" i="1"/>
  <c r="J88" i="1"/>
  <c r="G70" i="1"/>
  <c r="G82" i="1"/>
  <c r="J68" i="1"/>
  <c r="J80" i="1"/>
  <c r="E61" i="1"/>
  <c r="E71" i="1"/>
  <c r="G71" i="1"/>
  <c r="J69" i="1"/>
  <c r="J81" i="1"/>
  <c r="E82" i="1"/>
  <c r="E70" i="1"/>
  <c r="G72" i="1"/>
  <c r="J70" i="1"/>
  <c r="J82" i="1"/>
  <c r="H83" i="1"/>
  <c r="E81" i="1"/>
  <c r="E69" i="1"/>
  <c r="G61" i="1"/>
  <c r="G73" i="1"/>
  <c r="J71" i="1"/>
  <c r="E80" i="1"/>
  <c r="E68" i="1"/>
  <c r="G62" i="1"/>
  <c r="G74" i="1"/>
  <c r="J72" i="1"/>
  <c r="E79" i="1"/>
  <c r="E67" i="1"/>
  <c r="G63" i="1"/>
  <c r="G75" i="1"/>
  <c r="J61" i="1"/>
  <c r="J73" i="1"/>
  <c r="E78" i="1"/>
  <c r="E66" i="1"/>
  <c r="G64" i="1"/>
  <c r="G76" i="1"/>
  <c r="J62" i="1"/>
  <c r="J74" i="1"/>
  <c r="E77" i="1"/>
  <c r="E65" i="1"/>
  <c r="G65" i="1"/>
  <c r="G77" i="1"/>
  <c r="J63" i="1"/>
  <c r="J75" i="1"/>
  <c r="E76" i="1"/>
  <c r="E64" i="1"/>
  <c r="G66" i="1"/>
  <c r="G78" i="1"/>
  <c r="J64" i="1"/>
  <c r="J76" i="1"/>
  <c r="E75" i="1"/>
  <c r="E63" i="1"/>
  <c r="G67" i="1"/>
  <c r="G79" i="1"/>
  <c r="J65" i="1"/>
  <c r="J77" i="1"/>
  <c r="E74" i="1"/>
  <c r="E62" i="1"/>
  <c r="G68" i="1"/>
  <c r="G80" i="1"/>
  <c r="J66" i="1"/>
  <c r="J78" i="1"/>
  <c r="K83" i="1"/>
  <c r="E73" i="1"/>
  <c r="G69" i="1"/>
  <c r="G81" i="1"/>
  <c r="J67" i="1"/>
  <c r="F41" i="1"/>
  <c r="G41" i="1" s="1"/>
  <c r="G15" i="1"/>
  <c r="E18" i="1"/>
  <c r="E17" i="1"/>
  <c r="E16" i="1"/>
  <c r="J15" i="1"/>
  <c r="J12" i="1"/>
  <c r="E15" i="1"/>
  <c r="J13" i="1"/>
  <c r="E14" i="1"/>
  <c r="J14" i="1"/>
  <c r="E13" i="1"/>
  <c r="G12" i="1"/>
  <c r="G13" i="1"/>
  <c r="J16" i="1"/>
  <c r="G14" i="1"/>
  <c r="G16" i="1"/>
  <c r="G17" i="1"/>
  <c r="J17" i="1"/>
  <c r="E12" i="1"/>
  <c r="E19" i="1" s="1"/>
  <c r="G18" i="1"/>
  <c r="J18" i="1"/>
  <c r="H11" i="1"/>
  <c r="D40" i="1"/>
  <c r="G2" i="1"/>
  <c r="E2" i="1"/>
  <c r="G3" i="1"/>
  <c r="E6" i="1"/>
  <c r="G4" i="1"/>
  <c r="E5" i="1"/>
  <c r="G5" i="1"/>
  <c r="J2" i="1"/>
  <c r="E4" i="1"/>
  <c r="G6" i="1"/>
  <c r="J3" i="1"/>
  <c r="K7" i="1"/>
  <c r="E3" i="1"/>
  <c r="J4" i="1"/>
  <c r="J112" i="1" l="1"/>
  <c r="E112" i="1"/>
  <c r="J103" i="1"/>
  <c r="G97" i="1"/>
  <c r="J97" i="1"/>
  <c r="E97" i="1"/>
  <c r="G89" i="1"/>
  <c r="E89" i="1"/>
  <c r="J89" i="1"/>
  <c r="E83" i="1"/>
  <c r="G39" i="1"/>
  <c r="J39" i="1"/>
  <c r="E39" i="1"/>
  <c r="E7" i="1"/>
  <c r="J83" i="1"/>
  <c r="J99" i="1"/>
  <c r="I100" i="1"/>
  <c r="I114" i="1" s="1"/>
  <c r="F100" i="1"/>
  <c r="G100" i="1" s="1"/>
  <c r="G83" i="1"/>
  <c r="J49" i="1"/>
  <c r="G54" i="1"/>
  <c r="G42" i="1"/>
  <c r="E54" i="1"/>
  <c r="J48" i="1"/>
  <c r="G53" i="1"/>
  <c r="E55" i="1"/>
  <c r="J47" i="1"/>
  <c r="E56" i="1"/>
  <c r="J55" i="1"/>
  <c r="G48" i="1"/>
  <c r="E47" i="1"/>
  <c r="J54" i="1"/>
  <c r="G47" i="1"/>
  <c r="E48" i="1"/>
  <c r="J53" i="1"/>
  <c r="G58" i="1"/>
  <c r="D99" i="1"/>
  <c r="E49" i="1"/>
  <c r="G45" i="1"/>
  <c r="E50" i="1"/>
  <c r="J51" i="1"/>
  <c r="G56" i="1"/>
  <c r="E51" i="1"/>
  <c r="J50" i="1"/>
  <c r="G55" i="1"/>
  <c r="E53" i="1"/>
  <c r="J58" i="1"/>
  <c r="J46" i="1"/>
  <c r="G51" i="1"/>
  <c r="E43" i="1"/>
  <c r="E57" i="1"/>
  <c r="H60" i="1"/>
  <c r="J57" i="1"/>
  <c r="J45" i="1"/>
  <c r="G50" i="1"/>
  <c r="E45" i="1"/>
  <c r="E58" i="1"/>
  <c r="K60" i="1"/>
  <c r="J56" i="1"/>
  <c r="G49" i="1"/>
  <c r="E46" i="1"/>
  <c r="E42" i="1"/>
  <c r="J43" i="1"/>
  <c r="J42" i="1"/>
  <c r="G46" i="1"/>
  <c r="G57" i="1"/>
  <c r="G43" i="1"/>
  <c r="J19" i="1"/>
  <c r="G19" i="1"/>
  <c r="K40" i="1"/>
  <c r="H40" i="1"/>
  <c r="D41" i="1"/>
  <c r="E40" i="1"/>
  <c r="G7" i="1"/>
  <c r="J7" i="1"/>
  <c r="J100" i="1" l="1"/>
  <c r="F114" i="1"/>
  <c r="F115" i="1" s="1"/>
  <c r="J60" i="1"/>
  <c r="E60" i="1"/>
  <c r="H99" i="1"/>
  <c r="K99" i="1"/>
  <c r="E99" i="1"/>
  <c r="G60" i="1"/>
  <c r="K41" i="1"/>
  <c r="E41" i="1"/>
  <c r="D100" i="1"/>
  <c r="H41" i="1"/>
  <c r="I115" i="1"/>
  <c r="J114" i="1"/>
  <c r="J115" i="1" l="1"/>
  <c r="I116" i="1"/>
  <c r="I117" i="1" s="1"/>
  <c r="G114" i="1"/>
  <c r="E100" i="1"/>
  <c r="H100" i="1"/>
  <c r="D114" i="1"/>
  <c r="K100" i="1"/>
  <c r="G115" i="1"/>
  <c r="F116" i="1"/>
  <c r="F117" i="1" s="1"/>
  <c r="K114" i="1" l="1"/>
  <c r="H114" i="1"/>
  <c r="E114" i="1"/>
  <c r="D115" i="1"/>
  <c r="K115" i="1" l="1"/>
  <c r="E115" i="1"/>
  <c r="H115" i="1"/>
</calcChain>
</file>

<file path=xl/sharedStrings.xml><?xml version="1.0" encoding="utf-8"?>
<sst xmlns="http://schemas.openxmlformats.org/spreadsheetml/2006/main" count="123" uniqueCount="101">
  <si>
    <t>勘定科目コード</t>
  </si>
  <si>
    <t>勘定科目名</t>
  </si>
  <si>
    <t>利益管理表科目</t>
  </si>
  <si>
    <t>前期実績</t>
  </si>
  <si>
    <t>構成比</t>
  </si>
  <si>
    <t>当期予算１</t>
  </si>
  <si>
    <t>対比</t>
  </si>
  <si>
    <t>当期予算２</t>
  </si>
  <si>
    <t>売上高</t>
  </si>
  <si>
    <t>売上値引戻り高</t>
  </si>
  <si>
    <t>純売上高</t>
  </si>
  <si>
    <t>期首棚卸高</t>
  </si>
  <si>
    <t>期首材料棚卸高</t>
  </si>
  <si>
    <t>期首仕掛品棚卸高</t>
  </si>
  <si>
    <t>仕入１</t>
  </si>
  <si>
    <t>仕入２</t>
  </si>
  <si>
    <t>仕入３</t>
  </si>
  <si>
    <t>仕入４</t>
  </si>
  <si>
    <t>仕入値引戻し高</t>
  </si>
  <si>
    <t>仕入値引き戻し高</t>
  </si>
  <si>
    <t>材料仕入高</t>
  </si>
  <si>
    <t>仕入高</t>
  </si>
  <si>
    <t>期末棚卸高</t>
  </si>
  <si>
    <t>期末材料棚卸高</t>
  </si>
  <si>
    <t>期末仕掛品棚卸高</t>
  </si>
  <si>
    <t>期末棚卸高△</t>
  </si>
  <si>
    <t>外注加工費</t>
  </si>
  <si>
    <t>電力費</t>
  </si>
  <si>
    <t>ガス代</t>
  </si>
  <si>
    <t>水道料</t>
  </si>
  <si>
    <t>運賃</t>
  </si>
  <si>
    <t>修繕費</t>
  </si>
  <si>
    <t>消耗品費</t>
  </si>
  <si>
    <t>旅費</t>
  </si>
  <si>
    <t>交通費</t>
  </si>
  <si>
    <t>通信費</t>
  </si>
  <si>
    <t>雑費</t>
  </si>
  <si>
    <t>他の変動費</t>
  </si>
  <si>
    <t>変動費計</t>
  </si>
  <si>
    <t>限界利益</t>
  </si>
  <si>
    <t>役員報酬</t>
  </si>
  <si>
    <t>雑給</t>
  </si>
  <si>
    <t>販売員給与</t>
  </si>
  <si>
    <t>従業員給与</t>
  </si>
  <si>
    <t>従業員賞与</t>
  </si>
  <si>
    <t>賃金</t>
  </si>
  <si>
    <t>賞与</t>
  </si>
  <si>
    <t>給与・賞与</t>
  </si>
  <si>
    <t>法定福利費</t>
  </si>
  <si>
    <t>厚生費</t>
  </si>
  <si>
    <t>研修費</t>
  </si>
  <si>
    <t>退職金</t>
  </si>
  <si>
    <t>福利厚生等</t>
  </si>
  <si>
    <t>人件費</t>
  </si>
  <si>
    <t>販売員旅費</t>
  </si>
  <si>
    <t>広告宣伝費</t>
  </si>
  <si>
    <t>容器包装費</t>
  </si>
  <si>
    <t>発送配達費</t>
  </si>
  <si>
    <t>その他の販売費</t>
  </si>
  <si>
    <t>事務用消耗品費</t>
  </si>
  <si>
    <t>通信交通費</t>
  </si>
  <si>
    <t>水道光熱費</t>
  </si>
  <si>
    <t>租税公課</t>
  </si>
  <si>
    <t>寄付金</t>
  </si>
  <si>
    <t>接待交際費</t>
  </si>
  <si>
    <t>備品消耗品費</t>
  </si>
  <si>
    <t>諸会費</t>
  </si>
  <si>
    <t>支払手数料</t>
  </si>
  <si>
    <t>車両費</t>
  </si>
  <si>
    <t>燃料費</t>
  </si>
  <si>
    <t>貸倒償却</t>
  </si>
  <si>
    <t>販売管理費</t>
  </si>
  <si>
    <t>受取利息</t>
  </si>
  <si>
    <t>受取配当金</t>
  </si>
  <si>
    <t>雑収入</t>
  </si>
  <si>
    <t>営業外収益計</t>
  </si>
  <si>
    <t>支払利息</t>
  </si>
  <si>
    <t>手形売却損</t>
  </si>
  <si>
    <t>繰延資産償却</t>
  </si>
  <si>
    <t>雑損失</t>
  </si>
  <si>
    <t>営業外費用計</t>
  </si>
  <si>
    <t>営業外損益</t>
  </si>
  <si>
    <t>部門固定費計</t>
  </si>
  <si>
    <t>部門達成利益</t>
  </si>
  <si>
    <t>減価償却費</t>
  </si>
  <si>
    <t>リース料</t>
  </si>
  <si>
    <t>地代家賃</t>
  </si>
  <si>
    <t>賃借料</t>
  </si>
  <si>
    <t>地代家賃・賃借料</t>
  </si>
  <si>
    <t>保険料</t>
  </si>
  <si>
    <t>保険料・修繕費</t>
  </si>
  <si>
    <t>設備費</t>
  </si>
  <si>
    <t>部門貢献利益</t>
  </si>
  <si>
    <t>経常利益（損失）</t>
  </si>
  <si>
    <t>法人税、住民税及び事業税</t>
  </si>
  <si>
    <t>当期純利益（損失）</t>
  </si>
  <si>
    <t>鑿井工事高</t>
    <phoneticPr fontId="18"/>
  </si>
  <si>
    <t>土木工事高</t>
    <rPh sb="0" eb="2">
      <t>ドボク</t>
    </rPh>
    <rPh sb="2" eb="4">
      <t>コウジ</t>
    </rPh>
    <rPh sb="4" eb="5">
      <t>ダカ</t>
    </rPh>
    <phoneticPr fontId="18"/>
  </si>
  <si>
    <t>売上高</t>
    <phoneticPr fontId="18"/>
  </si>
  <si>
    <t>地代家賃</t>
    <phoneticPr fontId="18"/>
  </si>
  <si>
    <t>車両費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</si>
</sst>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A211-2DB1-4453-A387-E8A2D7FFE234}">
  <dimension ref="A1:K117"/>
  <sheetViews>
    <sheetView tabSelected="1" topLeftCell="A31" workbookViewId="0">
      <selection activeCell="L36" sqref="L36"/>
    </sheetView>
  </sheetViews>
  <sheetFormatPr defaultRowHeight="18.75" x14ac:dyDescent="0.4"/>
  <cols>
    <col min="1" max="11" width="15.6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7</v>
      </c>
      <c r="J1" t="s">
        <v>4</v>
      </c>
      <c r="K1" t="s">
        <v>6</v>
      </c>
    </row>
    <row r="2" spans="1:11" x14ac:dyDescent="0.4">
      <c r="A2">
        <v>4111</v>
      </c>
      <c r="B2" t="s">
        <v>96</v>
      </c>
      <c r="D2" s="1"/>
      <c r="E2" s="2" t="e">
        <f>D2/$D$7</f>
        <v>#DIV/0!</v>
      </c>
      <c r="F2" s="1"/>
      <c r="G2" s="2" t="e">
        <f>F2/$D$7</f>
        <v>#DIV/0!</v>
      </c>
      <c r="H2" s="2" t="e">
        <f>F2/D2</f>
        <v>#DIV/0!</v>
      </c>
      <c r="I2" s="1"/>
      <c r="J2" s="2" t="e">
        <f>I2/$D$7</f>
        <v>#DIV/0!</v>
      </c>
      <c r="K2" s="2" t="e">
        <f>I2/D2</f>
        <v>#DIV/0!</v>
      </c>
    </row>
    <row r="3" spans="1:11" x14ac:dyDescent="0.4">
      <c r="A3">
        <v>4112</v>
      </c>
      <c r="B3" t="s">
        <v>97</v>
      </c>
      <c r="D3" s="1"/>
      <c r="E3" s="2" t="e">
        <f t="shared" ref="E3:G6" si="0">D3/$D$7</f>
        <v>#DIV/0!</v>
      </c>
      <c r="F3" s="1"/>
      <c r="G3" s="2" t="e">
        <f t="shared" si="0"/>
        <v>#DIV/0!</v>
      </c>
      <c r="H3" s="2" t="e">
        <f t="shared" ref="H3:H66" si="1">F3/D3</f>
        <v>#DIV/0!</v>
      </c>
      <c r="I3" s="1"/>
      <c r="J3" s="2" t="e">
        <f t="shared" ref="J3" si="2">I3/$D$7</f>
        <v>#DIV/0!</v>
      </c>
      <c r="K3" s="2" t="e">
        <f t="shared" ref="K3:K66" si="3">I3/D3</f>
        <v>#DIV/0!</v>
      </c>
    </row>
    <row r="4" spans="1:11" x14ac:dyDescent="0.4">
      <c r="A4">
        <v>4113</v>
      </c>
      <c r="B4" t="s">
        <v>98</v>
      </c>
      <c r="D4" s="1"/>
      <c r="E4" s="2" t="e">
        <f t="shared" si="0"/>
        <v>#DIV/0!</v>
      </c>
      <c r="F4" s="1"/>
      <c r="G4" s="2" t="e">
        <f t="shared" si="0"/>
        <v>#DIV/0!</v>
      </c>
      <c r="H4" s="2" t="e">
        <f t="shared" si="1"/>
        <v>#DIV/0!</v>
      </c>
      <c r="I4" s="1"/>
      <c r="J4" s="2" t="e">
        <f t="shared" ref="J4" si="4">I4/$D$7</f>
        <v>#DIV/0!</v>
      </c>
      <c r="K4" s="2" t="e">
        <f t="shared" si="3"/>
        <v>#DIV/0!</v>
      </c>
    </row>
    <row r="5" spans="1:11" x14ac:dyDescent="0.4">
      <c r="A5">
        <v>4114</v>
      </c>
      <c r="B5" t="s">
        <v>8</v>
      </c>
      <c r="D5" s="1"/>
      <c r="E5" s="2" t="e">
        <f t="shared" si="0"/>
        <v>#DIV/0!</v>
      </c>
      <c r="F5" s="1"/>
      <c r="G5" s="2" t="e">
        <f t="shared" si="0"/>
        <v>#DIV/0!</v>
      </c>
      <c r="H5" s="2" t="e">
        <f t="shared" si="1"/>
        <v>#DIV/0!</v>
      </c>
      <c r="I5" s="1"/>
      <c r="J5" s="2" t="e">
        <f t="shared" ref="J5" si="5">I5/$D$7</f>
        <v>#DIV/0!</v>
      </c>
      <c r="K5" s="2" t="e">
        <f t="shared" si="3"/>
        <v>#DIV/0!</v>
      </c>
    </row>
    <row r="6" spans="1:11" x14ac:dyDescent="0.4">
      <c r="A6">
        <v>4115</v>
      </c>
      <c r="B6" t="s">
        <v>9</v>
      </c>
      <c r="D6" s="1"/>
      <c r="E6" s="2" t="e">
        <f t="shared" si="0"/>
        <v>#DIV/0!</v>
      </c>
      <c r="F6" s="1"/>
      <c r="G6" s="2" t="e">
        <f t="shared" si="0"/>
        <v>#DIV/0!</v>
      </c>
      <c r="H6" s="2" t="e">
        <f t="shared" si="1"/>
        <v>#DIV/0!</v>
      </c>
      <c r="I6" s="1"/>
      <c r="J6" s="2" t="e">
        <f t="shared" ref="J6" si="6">I6/$D$7</f>
        <v>#DIV/0!</v>
      </c>
      <c r="K6" s="2" t="e">
        <f t="shared" si="3"/>
        <v>#DIV/0!</v>
      </c>
    </row>
    <row r="7" spans="1:11" x14ac:dyDescent="0.4">
      <c r="A7">
        <v>4000</v>
      </c>
      <c r="B7" t="s">
        <v>10</v>
      </c>
      <c r="C7" t="s">
        <v>10</v>
      </c>
      <c r="D7" s="1">
        <f>SUM(D2:D6)</f>
        <v>0</v>
      </c>
      <c r="E7" s="2" t="e">
        <f>SUM(E2:E6)</f>
        <v>#DIV/0!</v>
      </c>
      <c r="F7" s="1">
        <f>SUM(F2:F6)</f>
        <v>0</v>
      </c>
      <c r="G7" s="2" t="e">
        <f>SUM(G2:G6)</f>
        <v>#DIV/0!</v>
      </c>
      <c r="H7" s="2" t="e">
        <f t="shared" si="1"/>
        <v>#DIV/0!</v>
      </c>
      <c r="I7" s="1">
        <f>SUM(I2:I6)</f>
        <v>0</v>
      </c>
      <c r="J7" s="2" t="e">
        <f>SUM(J2:J6)</f>
        <v>#DIV/0!</v>
      </c>
      <c r="K7" s="2" t="e">
        <f t="shared" si="3"/>
        <v>#DIV/0!</v>
      </c>
    </row>
    <row r="8" spans="1:11" x14ac:dyDescent="0.4">
      <c r="A8">
        <v>5111</v>
      </c>
      <c r="B8" t="s">
        <v>11</v>
      </c>
      <c r="D8" s="1"/>
      <c r="F8" s="1"/>
      <c r="H8" s="2"/>
      <c r="I8" s="1"/>
      <c r="K8" s="2"/>
    </row>
    <row r="9" spans="1:11" x14ac:dyDescent="0.4">
      <c r="A9">
        <v>5411</v>
      </c>
      <c r="B9" t="s">
        <v>12</v>
      </c>
      <c r="H9" s="2"/>
      <c r="K9" s="2"/>
    </row>
    <row r="10" spans="1:11" x14ac:dyDescent="0.4">
      <c r="A10">
        <v>5471</v>
      </c>
      <c r="B10" t="s">
        <v>13</v>
      </c>
      <c r="H10" s="2"/>
      <c r="K10" s="2"/>
    </row>
    <row r="11" spans="1:11" x14ac:dyDescent="0.4">
      <c r="C11" t="s">
        <v>11</v>
      </c>
      <c r="D11" s="1">
        <f>SUM(D8:D10)</f>
        <v>0</v>
      </c>
      <c r="F11" s="1"/>
      <c r="H11" s="2" t="e">
        <f t="shared" si="1"/>
        <v>#DIV/0!</v>
      </c>
      <c r="I11" s="1">
        <f>SUM(I8:I10)</f>
        <v>0</v>
      </c>
      <c r="K11" s="2" t="e">
        <f t="shared" si="3"/>
        <v>#DIV/0!</v>
      </c>
    </row>
    <row r="12" spans="1:11" x14ac:dyDescent="0.4">
      <c r="A12">
        <v>5211</v>
      </c>
      <c r="B12" t="s">
        <v>14</v>
      </c>
      <c r="C12" t="s">
        <v>14</v>
      </c>
      <c r="D12" s="1"/>
      <c r="E12" s="2" t="e">
        <f>D12/$D$19</f>
        <v>#DIV/0!</v>
      </c>
      <c r="F12" s="1"/>
      <c r="G12" s="2" t="e">
        <f>F12/$D$19</f>
        <v>#DIV/0!</v>
      </c>
      <c r="H12" s="2" t="e">
        <f t="shared" si="1"/>
        <v>#DIV/0!</v>
      </c>
      <c r="I12" s="1"/>
      <c r="J12" s="2" t="e">
        <f>I12/$D$19</f>
        <v>#DIV/0!</v>
      </c>
      <c r="K12" s="2" t="e">
        <f t="shared" si="3"/>
        <v>#DIV/0!</v>
      </c>
    </row>
    <row r="13" spans="1:11" x14ac:dyDescent="0.4">
      <c r="A13">
        <v>5212</v>
      </c>
      <c r="B13" t="s">
        <v>15</v>
      </c>
      <c r="C13" t="s">
        <v>15</v>
      </c>
      <c r="D13" s="1"/>
      <c r="E13" s="2" t="e">
        <f t="shared" ref="E13:G18" si="7">D13/$D$19</f>
        <v>#DIV/0!</v>
      </c>
      <c r="F13" s="1"/>
      <c r="G13" s="2" t="e">
        <f t="shared" si="7"/>
        <v>#DIV/0!</v>
      </c>
      <c r="H13" s="2" t="e">
        <f t="shared" si="1"/>
        <v>#DIV/0!</v>
      </c>
      <c r="I13" s="1"/>
      <c r="J13" s="2" t="e">
        <f t="shared" ref="J13" si="8">I13/$D$19</f>
        <v>#DIV/0!</v>
      </c>
      <c r="K13" s="2" t="e">
        <f t="shared" si="3"/>
        <v>#DIV/0!</v>
      </c>
    </row>
    <row r="14" spans="1:11" x14ac:dyDescent="0.4">
      <c r="A14">
        <v>5215</v>
      </c>
      <c r="B14" t="s">
        <v>16</v>
      </c>
      <c r="C14" t="s">
        <v>16</v>
      </c>
      <c r="D14" s="1"/>
      <c r="E14" s="2" t="e">
        <f t="shared" si="7"/>
        <v>#DIV/0!</v>
      </c>
      <c r="F14" s="1"/>
      <c r="G14" s="2" t="e">
        <f t="shared" si="7"/>
        <v>#DIV/0!</v>
      </c>
      <c r="H14" s="2" t="e">
        <f t="shared" si="1"/>
        <v>#DIV/0!</v>
      </c>
      <c r="I14" s="1"/>
      <c r="J14" s="2" t="e">
        <f t="shared" ref="J14" si="9">I14/$D$19</f>
        <v>#DIV/0!</v>
      </c>
      <c r="K14" s="2" t="e">
        <f t="shared" si="3"/>
        <v>#DIV/0!</v>
      </c>
    </row>
    <row r="15" spans="1:11" x14ac:dyDescent="0.4">
      <c r="A15">
        <v>5216</v>
      </c>
      <c r="B15" t="s">
        <v>17</v>
      </c>
      <c r="C15" t="s">
        <v>17</v>
      </c>
      <c r="D15" s="1"/>
      <c r="E15" s="2" t="e">
        <f t="shared" si="7"/>
        <v>#DIV/0!</v>
      </c>
      <c r="F15" s="1"/>
      <c r="G15" s="2" t="e">
        <f t="shared" si="7"/>
        <v>#DIV/0!</v>
      </c>
      <c r="H15" s="2" t="e">
        <f t="shared" si="1"/>
        <v>#DIV/0!</v>
      </c>
      <c r="I15" s="1"/>
      <c r="J15" s="2" t="e">
        <f t="shared" ref="J15" si="10">I15/$D$19</f>
        <v>#DIV/0!</v>
      </c>
      <c r="K15" s="2" t="e">
        <f t="shared" si="3"/>
        <v>#DIV/0!</v>
      </c>
    </row>
    <row r="16" spans="1:11" x14ac:dyDescent="0.4">
      <c r="A16">
        <v>5213</v>
      </c>
      <c r="B16" t="s">
        <v>18</v>
      </c>
      <c r="C16" t="s">
        <v>19</v>
      </c>
      <c r="D16" s="1"/>
      <c r="E16" s="2" t="e">
        <f t="shared" si="7"/>
        <v>#DIV/0!</v>
      </c>
      <c r="F16" s="1"/>
      <c r="G16" s="2" t="e">
        <f t="shared" si="7"/>
        <v>#DIV/0!</v>
      </c>
      <c r="H16" s="2" t="e">
        <f t="shared" si="1"/>
        <v>#DIV/0!</v>
      </c>
      <c r="I16" s="1"/>
      <c r="J16" s="2" t="e">
        <f t="shared" ref="J16" si="11">I16/$D$19</f>
        <v>#DIV/0!</v>
      </c>
      <c r="K16" s="2" t="e">
        <f t="shared" si="3"/>
        <v>#DIV/0!</v>
      </c>
    </row>
    <row r="17" spans="1:11" x14ac:dyDescent="0.4">
      <c r="A17">
        <v>5412</v>
      </c>
      <c r="B17" t="s">
        <v>20</v>
      </c>
      <c r="D17" s="1"/>
      <c r="E17" s="2" t="e">
        <f t="shared" si="7"/>
        <v>#DIV/0!</v>
      </c>
      <c r="F17" s="1"/>
      <c r="G17" s="2" t="e">
        <f t="shared" si="7"/>
        <v>#DIV/0!</v>
      </c>
      <c r="H17" s="2" t="e">
        <f t="shared" si="1"/>
        <v>#DIV/0!</v>
      </c>
      <c r="I17" s="1"/>
      <c r="J17" s="2" t="e">
        <f t="shared" ref="J17" si="12">I17/$D$19</f>
        <v>#DIV/0!</v>
      </c>
      <c r="K17" s="2" t="e">
        <f t="shared" si="3"/>
        <v>#DIV/0!</v>
      </c>
    </row>
    <row r="18" spans="1:11" x14ac:dyDescent="0.4">
      <c r="A18">
        <v>5414</v>
      </c>
      <c r="D18" s="1"/>
      <c r="E18" s="2" t="e">
        <f t="shared" si="7"/>
        <v>#DIV/0!</v>
      </c>
      <c r="F18" s="1"/>
      <c r="G18" s="2" t="e">
        <f t="shared" si="7"/>
        <v>#DIV/0!</v>
      </c>
      <c r="H18" s="2" t="e">
        <f t="shared" si="1"/>
        <v>#DIV/0!</v>
      </c>
      <c r="I18" s="1"/>
      <c r="J18" s="2" t="e">
        <f t="shared" ref="J18" si="13">I18/$D$19</f>
        <v>#DIV/0!</v>
      </c>
      <c r="K18" s="2" t="e">
        <f t="shared" si="3"/>
        <v>#DIV/0!</v>
      </c>
    </row>
    <row r="19" spans="1:11" x14ac:dyDescent="0.4">
      <c r="C19" t="s">
        <v>21</v>
      </c>
      <c r="D19" s="1">
        <f>SUM(D12:D18)</f>
        <v>0</v>
      </c>
      <c r="E19" s="2" t="e">
        <f>SUM(E12:E18)</f>
        <v>#DIV/0!</v>
      </c>
      <c r="F19" s="1">
        <f>SUM(F12:F18)</f>
        <v>0</v>
      </c>
      <c r="G19" s="2" t="e">
        <f>SUM(G12:G18)</f>
        <v>#DIV/0!</v>
      </c>
      <c r="H19" s="2"/>
      <c r="I19" s="1">
        <f>SUM(I12:I18)</f>
        <v>0</v>
      </c>
      <c r="J19" s="2" t="e">
        <f>SUM(J12:J18)</f>
        <v>#DIV/0!</v>
      </c>
      <c r="K19" s="2"/>
    </row>
    <row r="20" spans="1:11" x14ac:dyDescent="0.4">
      <c r="A20">
        <v>5311</v>
      </c>
      <c r="B20" t="s">
        <v>22</v>
      </c>
      <c r="D20" s="1"/>
      <c r="F20" s="1"/>
      <c r="H20" s="2"/>
      <c r="I20" s="1"/>
      <c r="K20" s="2"/>
    </row>
    <row r="21" spans="1:11" x14ac:dyDescent="0.4">
      <c r="A21">
        <v>5413</v>
      </c>
      <c r="B21" t="s">
        <v>23</v>
      </c>
      <c r="H21" s="2"/>
      <c r="K21" s="2"/>
    </row>
    <row r="22" spans="1:11" x14ac:dyDescent="0.4">
      <c r="A22">
        <v>5472</v>
      </c>
      <c r="B22" t="s">
        <v>24</v>
      </c>
      <c r="H22" s="2"/>
      <c r="K22" s="2"/>
    </row>
    <row r="23" spans="1:11" x14ac:dyDescent="0.4">
      <c r="C23" t="s">
        <v>25</v>
      </c>
      <c r="D23" s="1">
        <f>SUM(D20:D22)</f>
        <v>0</v>
      </c>
      <c r="F23" s="1">
        <f>SUM(F20:F22)</f>
        <v>0</v>
      </c>
      <c r="H23" s="2" t="e">
        <f t="shared" si="1"/>
        <v>#DIV/0!</v>
      </c>
      <c r="I23" s="1">
        <f>SUM(I20:I22)</f>
        <v>0</v>
      </c>
      <c r="K23" s="2" t="e">
        <f t="shared" si="3"/>
        <v>#DIV/0!</v>
      </c>
    </row>
    <row r="24" spans="1:11" x14ac:dyDescent="0.4">
      <c r="A24">
        <v>5441</v>
      </c>
      <c r="B24" t="s">
        <v>26</v>
      </c>
      <c r="C24" t="s">
        <v>26</v>
      </c>
      <c r="H24" s="2" t="e">
        <f t="shared" si="1"/>
        <v>#DIV/0!</v>
      </c>
      <c r="K24" s="2" t="e">
        <f t="shared" si="3"/>
        <v>#DIV/0!</v>
      </c>
    </row>
    <row r="25" spans="1:11" x14ac:dyDescent="0.4">
      <c r="A25">
        <v>5436</v>
      </c>
      <c r="B25" t="s">
        <v>99</v>
      </c>
      <c r="E25" t="e">
        <f>D25/$D$39</f>
        <v>#DIV/0!</v>
      </c>
      <c r="G25" t="e">
        <f>F25/$D$39</f>
        <v>#DIV/0!</v>
      </c>
      <c r="H25" s="2" t="e">
        <f t="shared" si="1"/>
        <v>#DIV/0!</v>
      </c>
      <c r="J25" t="e">
        <f>I25/$D$39</f>
        <v>#DIV/0!</v>
      </c>
      <c r="K25" s="2" t="e">
        <f t="shared" si="3"/>
        <v>#DIV/0!</v>
      </c>
    </row>
    <row r="26" spans="1:11" x14ac:dyDescent="0.4">
      <c r="A26">
        <v>5437</v>
      </c>
      <c r="B26" t="s">
        <v>100</v>
      </c>
      <c r="E26" t="e">
        <f t="shared" ref="E26:G38" si="14">D26/$D$39</f>
        <v>#DIV/0!</v>
      </c>
      <c r="G26" t="e">
        <f t="shared" si="14"/>
        <v>#DIV/0!</v>
      </c>
      <c r="H26" s="2" t="e">
        <f t="shared" si="1"/>
        <v>#DIV/0!</v>
      </c>
      <c r="J26" t="e">
        <f t="shared" ref="J26" si="15">I26/$D$39</f>
        <v>#DIV/0!</v>
      </c>
      <c r="K26" s="2" t="e">
        <f t="shared" si="3"/>
        <v>#DIV/0!</v>
      </c>
    </row>
    <row r="27" spans="1:11" x14ac:dyDescent="0.4">
      <c r="A27">
        <v>5451</v>
      </c>
      <c r="B27" t="s">
        <v>27</v>
      </c>
      <c r="E27" t="e">
        <f t="shared" si="14"/>
        <v>#DIV/0!</v>
      </c>
      <c r="G27" t="e">
        <f t="shared" si="14"/>
        <v>#DIV/0!</v>
      </c>
      <c r="H27" s="2" t="e">
        <f t="shared" si="1"/>
        <v>#DIV/0!</v>
      </c>
      <c r="J27" t="e">
        <f t="shared" ref="J27" si="16">I27/$D$39</f>
        <v>#DIV/0!</v>
      </c>
      <c r="K27" s="2" t="e">
        <f t="shared" si="3"/>
        <v>#DIV/0!</v>
      </c>
    </row>
    <row r="28" spans="1:11" x14ac:dyDescent="0.4">
      <c r="A28">
        <v>5452</v>
      </c>
      <c r="B28" t="s">
        <v>28</v>
      </c>
      <c r="E28" t="e">
        <f t="shared" si="14"/>
        <v>#DIV/0!</v>
      </c>
      <c r="G28" t="e">
        <f t="shared" si="14"/>
        <v>#DIV/0!</v>
      </c>
      <c r="H28" s="2" t="e">
        <f t="shared" si="1"/>
        <v>#DIV/0!</v>
      </c>
      <c r="J28" t="e">
        <f t="shared" ref="J28" si="17">I28/$D$39</f>
        <v>#DIV/0!</v>
      </c>
      <c r="K28" s="2" t="e">
        <f t="shared" si="3"/>
        <v>#DIV/0!</v>
      </c>
    </row>
    <row r="29" spans="1:11" x14ac:dyDescent="0.4">
      <c r="A29">
        <v>5453</v>
      </c>
      <c r="B29" t="s">
        <v>29</v>
      </c>
      <c r="E29" t="e">
        <f t="shared" si="14"/>
        <v>#DIV/0!</v>
      </c>
      <c r="G29" t="e">
        <f t="shared" si="14"/>
        <v>#DIV/0!</v>
      </c>
      <c r="H29" s="2" t="e">
        <f t="shared" si="1"/>
        <v>#DIV/0!</v>
      </c>
      <c r="J29" t="e">
        <f t="shared" ref="J29" si="18">I29/$D$39</f>
        <v>#DIV/0!</v>
      </c>
      <c r="K29" s="2" t="e">
        <f t="shared" si="3"/>
        <v>#DIV/0!</v>
      </c>
    </row>
    <row r="30" spans="1:11" x14ac:dyDescent="0.4">
      <c r="A30">
        <v>5454</v>
      </c>
      <c r="B30" t="s">
        <v>30</v>
      </c>
      <c r="E30" t="e">
        <f t="shared" si="14"/>
        <v>#DIV/0!</v>
      </c>
      <c r="G30" t="e">
        <f t="shared" si="14"/>
        <v>#DIV/0!</v>
      </c>
      <c r="H30" s="2" t="e">
        <f t="shared" si="1"/>
        <v>#DIV/0!</v>
      </c>
      <c r="J30" t="e">
        <f t="shared" ref="J30" si="19">I30/$D$39</f>
        <v>#DIV/0!</v>
      </c>
      <c r="K30" s="2" t="e">
        <f t="shared" si="3"/>
        <v>#DIV/0!</v>
      </c>
    </row>
    <row r="31" spans="1:11" x14ac:dyDescent="0.4">
      <c r="A31">
        <v>5456</v>
      </c>
      <c r="B31" t="s">
        <v>31</v>
      </c>
      <c r="E31" t="e">
        <f t="shared" si="14"/>
        <v>#DIV/0!</v>
      </c>
      <c r="G31" t="e">
        <f t="shared" si="14"/>
        <v>#DIV/0!</v>
      </c>
      <c r="H31" s="2" t="e">
        <f t="shared" si="1"/>
        <v>#DIV/0!</v>
      </c>
      <c r="J31" t="e">
        <f t="shared" ref="J31" si="20">I31/$D$39</f>
        <v>#DIV/0!</v>
      </c>
      <c r="K31" s="2" t="e">
        <f t="shared" si="3"/>
        <v>#DIV/0!</v>
      </c>
    </row>
    <row r="32" spans="1:11" x14ac:dyDescent="0.4">
      <c r="A32">
        <v>5461</v>
      </c>
      <c r="B32" t="s">
        <v>32</v>
      </c>
      <c r="E32" t="e">
        <f t="shared" si="14"/>
        <v>#DIV/0!</v>
      </c>
      <c r="G32" t="e">
        <f t="shared" si="14"/>
        <v>#DIV/0!</v>
      </c>
      <c r="H32" s="2" t="e">
        <f t="shared" si="1"/>
        <v>#DIV/0!</v>
      </c>
      <c r="J32" t="e">
        <f t="shared" ref="J32" si="21">I32/$D$39</f>
        <v>#DIV/0!</v>
      </c>
      <c r="K32" s="2" t="e">
        <f t="shared" si="3"/>
        <v>#DIV/0!</v>
      </c>
    </row>
    <row r="33" spans="1:11" x14ac:dyDescent="0.4">
      <c r="A33">
        <v>5462</v>
      </c>
      <c r="B33" t="s">
        <v>33</v>
      </c>
      <c r="E33" t="e">
        <f t="shared" si="14"/>
        <v>#DIV/0!</v>
      </c>
      <c r="G33" t="e">
        <f t="shared" si="14"/>
        <v>#DIV/0!</v>
      </c>
      <c r="H33" s="2" t="e">
        <f t="shared" si="1"/>
        <v>#DIV/0!</v>
      </c>
      <c r="J33" t="e">
        <f t="shared" ref="J33" si="22">I33/$D$39</f>
        <v>#DIV/0!</v>
      </c>
      <c r="K33" s="2" t="e">
        <f t="shared" si="3"/>
        <v>#DIV/0!</v>
      </c>
    </row>
    <row r="34" spans="1:11" x14ac:dyDescent="0.4">
      <c r="A34">
        <v>5463</v>
      </c>
      <c r="B34" t="s">
        <v>34</v>
      </c>
      <c r="E34" t="e">
        <f t="shared" si="14"/>
        <v>#DIV/0!</v>
      </c>
      <c r="G34" t="e">
        <f t="shared" si="14"/>
        <v>#DIV/0!</v>
      </c>
      <c r="H34" s="2" t="e">
        <f t="shared" si="1"/>
        <v>#DIV/0!</v>
      </c>
      <c r="J34" t="e">
        <f t="shared" ref="J34" si="23">I34/$D$39</f>
        <v>#DIV/0!</v>
      </c>
      <c r="K34" s="2" t="e">
        <f t="shared" si="3"/>
        <v>#DIV/0!</v>
      </c>
    </row>
    <row r="35" spans="1:11" x14ac:dyDescent="0.4">
      <c r="A35">
        <v>5464</v>
      </c>
      <c r="B35" t="s">
        <v>35</v>
      </c>
      <c r="E35" t="e">
        <f t="shared" si="14"/>
        <v>#DIV/0!</v>
      </c>
      <c r="G35" t="e">
        <f t="shared" si="14"/>
        <v>#DIV/0!</v>
      </c>
      <c r="H35" s="2" t="e">
        <f t="shared" si="1"/>
        <v>#DIV/0!</v>
      </c>
      <c r="J35" t="e">
        <f t="shared" ref="J35" si="24">I35/$D$39</f>
        <v>#DIV/0!</v>
      </c>
      <c r="K35" s="2" t="e">
        <f t="shared" si="3"/>
        <v>#DIV/0!</v>
      </c>
    </row>
    <row r="36" spans="1:11" x14ac:dyDescent="0.4">
      <c r="A36">
        <v>5465</v>
      </c>
      <c r="E36" t="e">
        <f t="shared" si="14"/>
        <v>#DIV/0!</v>
      </c>
      <c r="G36" t="e">
        <f t="shared" si="14"/>
        <v>#DIV/0!</v>
      </c>
      <c r="H36" s="2" t="e">
        <f t="shared" si="1"/>
        <v>#DIV/0!</v>
      </c>
      <c r="J36" t="e">
        <f t="shared" ref="J36" si="25">I36/$D$39</f>
        <v>#DIV/0!</v>
      </c>
      <c r="K36" s="2" t="e">
        <f t="shared" si="3"/>
        <v>#DIV/0!</v>
      </c>
    </row>
    <row r="37" spans="1:11" x14ac:dyDescent="0.4">
      <c r="A37">
        <v>5466</v>
      </c>
      <c r="E37" t="e">
        <f t="shared" si="14"/>
        <v>#DIV/0!</v>
      </c>
      <c r="G37" t="e">
        <f t="shared" si="14"/>
        <v>#DIV/0!</v>
      </c>
      <c r="H37" s="2" t="e">
        <f t="shared" si="1"/>
        <v>#DIV/0!</v>
      </c>
      <c r="J37" t="e">
        <f t="shared" ref="J37" si="26">I37/$D$39</f>
        <v>#DIV/0!</v>
      </c>
      <c r="K37" s="2" t="e">
        <f t="shared" si="3"/>
        <v>#DIV/0!</v>
      </c>
    </row>
    <row r="38" spans="1:11" x14ac:dyDescent="0.4">
      <c r="A38">
        <v>5467</v>
      </c>
      <c r="B38" t="s">
        <v>36</v>
      </c>
      <c r="E38" t="e">
        <f t="shared" si="14"/>
        <v>#DIV/0!</v>
      </c>
      <c r="G38" t="e">
        <f t="shared" si="14"/>
        <v>#DIV/0!</v>
      </c>
      <c r="H38" s="2" t="e">
        <f t="shared" si="1"/>
        <v>#DIV/0!</v>
      </c>
      <c r="J38" t="e">
        <f t="shared" ref="J38" si="27">I38/$D$39</f>
        <v>#DIV/0!</v>
      </c>
      <c r="K38" s="2" t="e">
        <f t="shared" si="3"/>
        <v>#DIV/0!</v>
      </c>
    </row>
    <row r="39" spans="1:11" x14ac:dyDescent="0.4">
      <c r="C39" t="s">
        <v>37</v>
      </c>
      <c r="D39">
        <f>SUM(D25:D38)</f>
        <v>0</v>
      </c>
      <c r="E39" t="e">
        <f>SUM(E25:E38)</f>
        <v>#DIV/0!</v>
      </c>
      <c r="F39">
        <f>SUM(F25:F38)</f>
        <v>0</v>
      </c>
      <c r="G39" t="e">
        <f>SUM(G25:G38)</f>
        <v>#DIV/0!</v>
      </c>
      <c r="H39" s="2" t="e">
        <f t="shared" si="1"/>
        <v>#DIV/0!</v>
      </c>
      <c r="I39">
        <f>SUM(I25:I38)</f>
        <v>0</v>
      </c>
      <c r="J39" t="e">
        <f>SUM(J25:J38)</f>
        <v>#DIV/0!</v>
      </c>
      <c r="K39" s="2" t="e">
        <f t="shared" si="3"/>
        <v>#DIV/0!</v>
      </c>
    </row>
    <row r="40" spans="1:11" x14ac:dyDescent="0.4">
      <c r="C40" t="s">
        <v>38</v>
      </c>
      <c r="D40" s="1">
        <f>D11+D19-D23+D24+D39</f>
        <v>0</v>
      </c>
      <c r="E40" s="2" t="e">
        <f>D40/D7</f>
        <v>#DIV/0!</v>
      </c>
      <c r="F40" s="1">
        <f>F11+F19-F23+F24+F39</f>
        <v>0</v>
      </c>
      <c r="G40" s="2" t="e">
        <f>F40/F7</f>
        <v>#DIV/0!</v>
      </c>
      <c r="H40" s="2" t="e">
        <f t="shared" si="1"/>
        <v>#DIV/0!</v>
      </c>
      <c r="I40" s="1">
        <f>I11+I19-I23+I24+I39</f>
        <v>0</v>
      </c>
      <c r="J40" s="2" t="e">
        <f>I40/I7</f>
        <v>#DIV/0!</v>
      </c>
      <c r="K40" s="2" t="e">
        <f t="shared" si="3"/>
        <v>#DIV/0!</v>
      </c>
    </row>
    <row r="41" spans="1:11" x14ac:dyDescent="0.4">
      <c r="C41" t="s">
        <v>39</v>
      </c>
      <c r="D41" s="1">
        <f>D7-D40</f>
        <v>0</v>
      </c>
      <c r="E41" s="2" t="e">
        <f>D41/D7</f>
        <v>#DIV/0!</v>
      </c>
      <c r="F41" s="1">
        <f>F7-F40</f>
        <v>0</v>
      </c>
      <c r="G41" s="2" t="e">
        <f>F41/F7</f>
        <v>#DIV/0!</v>
      </c>
      <c r="H41" s="2" t="e">
        <f t="shared" si="1"/>
        <v>#DIV/0!</v>
      </c>
      <c r="I41" s="1">
        <f>I7-I40</f>
        <v>0</v>
      </c>
      <c r="J41" s="2" t="e">
        <f>I41/I7</f>
        <v>#DIV/0!</v>
      </c>
      <c r="K41" s="2" t="e">
        <f t="shared" si="3"/>
        <v>#DIV/0!</v>
      </c>
    </row>
    <row r="42" spans="1:11" x14ac:dyDescent="0.4">
      <c r="A42">
        <v>6211</v>
      </c>
      <c r="B42" t="s">
        <v>40</v>
      </c>
      <c r="D42" s="1"/>
      <c r="E42" s="2" t="e">
        <f>D42/$D$60</f>
        <v>#DIV/0!</v>
      </c>
      <c r="F42" s="1"/>
      <c r="G42" s="2" t="e">
        <f>F42/$D$60</f>
        <v>#DIV/0!</v>
      </c>
      <c r="H42" s="2" t="e">
        <f t="shared" si="1"/>
        <v>#DIV/0!</v>
      </c>
      <c r="I42" s="1"/>
      <c r="J42" s="2" t="e">
        <f>I42/$D$60</f>
        <v>#DIV/0!</v>
      </c>
      <c r="K42" s="2" t="e">
        <f t="shared" si="3"/>
        <v>#DIV/0!</v>
      </c>
    </row>
    <row r="43" spans="1:11" x14ac:dyDescent="0.4">
      <c r="A43">
        <v>6232</v>
      </c>
      <c r="B43" t="s">
        <v>41</v>
      </c>
      <c r="D43" s="1"/>
      <c r="E43" s="2" t="e">
        <f t="shared" ref="E43:G58" si="28">D43/$D$60</f>
        <v>#DIV/0!</v>
      </c>
      <c r="F43" s="1"/>
      <c r="G43" s="2" t="e">
        <f t="shared" si="28"/>
        <v>#DIV/0!</v>
      </c>
      <c r="H43" s="2" t="e">
        <f t="shared" si="1"/>
        <v>#DIV/0!</v>
      </c>
      <c r="I43" s="1"/>
      <c r="J43" s="2" t="e">
        <f t="shared" ref="J43" si="29">I43/$D$60</f>
        <v>#DIV/0!</v>
      </c>
      <c r="K43" s="2" t="e">
        <f t="shared" si="3"/>
        <v>#DIV/0!</v>
      </c>
    </row>
    <row r="44" spans="1:11" x14ac:dyDescent="0.4">
      <c r="C44" t="s">
        <v>40</v>
      </c>
      <c r="D44" s="1">
        <f>SUM(D42:D43)</f>
        <v>0</v>
      </c>
      <c r="E44" s="2"/>
      <c r="F44" s="1">
        <f>SUM(F42:F43)</f>
        <v>0</v>
      </c>
      <c r="G44" s="2"/>
      <c r="H44" s="2"/>
      <c r="I44" s="1"/>
      <c r="J44" s="2"/>
      <c r="K44" s="2"/>
    </row>
    <row r="45" spans="1:11" x14ac:dyDescent="0.4">
      <c r="A45">
        <v>6111</v>
      </c>
      <c r="B45" t="s">
        <v>42</v>
      </c>
      <c r="D45" s="1"/>
      <c r="E45" s="2" t="e">
        <f t="shared" si="28"/>
        <v>#DIV/0!</v>
      </c>
      <c r="F45" s="1"/>
      <c r="G45" s="2" t="e">
        <f t="shared" si="28"/>
        <v>#DIV/0!</v>
      </c>
      <c r="H45" s="2" t="e">
        <f t="shared" si="1"/>
        <v>#DIV/0!</v>
      </c>
      <c r="I45" s="1"/>
      <c r="J45" s="2" t="e">
        <f t="shared" ref="J45" si="30">I45/$D$60</f>
        <v>#DIV/0!</v>
      </c>
      <c r="K45" s="2" t="e">
        <f t="shared" si="3"/>
        <v>#DIV/0!</v>
      </c>
    </row>
    <row r="46" spans="1:11" x14ac:dyDescent="0.4">
      <c r="A46">
        <v>6311</v>
      </c>
      <c r="D46" s="1"/>
      <c r="E46" s="2" t="e">
        <f t="shared" si="28"/>
        <v>#DIV/0!</v>
      </c>
      <c r="F46" s="1"/>
      <c r="G46" s="2" t="e">
        <f t="shared" si="28"/>
        <v>#DIV/0!</v>
      </c>
      <c r="H46" s="2" t="e">
        <f t="shared" si="1"/>
        <v>#DIV/0!</v>
      </c>
      <c r="I46" s="1"/>
      <c r="J46" s="2" t="e">
        <f t="shared" ref="J46" si="31">I46/$D$60</f>
        <v>#DIV/0!</v>
      </c>
      <c r="K46" s="2" t="e">
        <f t="shared" si="3"/>
        <v>#DIV/0!</v>
      </c>
    </row>
    <row r="47" spans="1:11" x14ac:dyDescent="0.4">
      <c r="A47">
        <v>6212</v>
      </c>
      <c r="B47" t="s">
        <v>43</v>
      </c>
      <c r="D47" s="1"/>
      <c r="E47" s="2" t="e">
        <f t="shared" si="28"/>
        <v>#DIV/0!</v>
      </c>
      <c r="F47" s="1"/>
      <c r="G47" s="2" t="e">
        <f t="shared" si="28"/>
        <v>#DIV/0!</v>
      </c>
      <c r="H47" s="2" t="e">
        <f t="shared" si="1"/>
        <v>#DIV/0!</v>
      </c>
      <c r="I47" s="1"/>
      <c r="J47" s="2" t="e">
        <f t="shared" ref="J47" si="32">I47/$D$60</f>
        <v>#DIV/0!</v>
      </c>
      <c r="K47" s="2" t="e">
        <f t="shared" si="3"/>
        <v>#DIV/0!</v>
      </c>
    </row>
    <row r="48" spans="1:11" x14ac:dyDescent="0.4">
      <c r="A48">
        <v>6213</v>
      </c>
      <c r="B48" t="s">
        <v>44</v>
      </c>
      <c r="D48" s="1"/>
      <c r="E48" s="2" t="e">
        <f t="shared" si="28"/>
        <v>#DIV/0!</v>
      </c>
      <c r="F48" s="1"/>
      <c r="G48" s="2" t="e">
        <f t="shared" si="28"/>
        <v>#DIV/0!</v>
      </c>
      <c r="H48" s="2" t="e">
        <f t="shared" si="1"/>
        <v>#DIV/0!</v>
      </c>
      <c r="I48" s="1"/>
      <c r="J48" s="2" t="e">
        <f t="shared" ref="J48" si="33">I48/$D$60</f>
        <v>#DIV/0!</v>
      </c>
      <c r="K48" s="2" t="e">
        <f t="shared" si="3"/>
        <v>#DIV/0!</v>
      </c>
    </row>
    <row r="49" spans="1:11" x14ac:dyDescent="0.4">
      <c r="A49">
        <v>5431</v>
      </c>
      <c r="B49" t="s">
        <v>45</v>
      </c>
      <c r="E49" s="2" t="e">
        <f t="shared" si="28"/>
        <v>#DIV/0!</v>
      </c>
      <c r="G49" s="2" t="e">
        <f t="shared" si="28"/>
        <v>#DIV/0!</v>
      </c>
      <c r="H49" s="2" t="e">
        <f t="shared" si="1"/>
        <v>#DIV/0!</v>
      </c>
      <c r="I49" s="1"/>
      <c r="J49" s="2" t="e">
        <f t="shared" ref="J49" si="34">I49/$D$60</f>
        <v>#DIV/0!</v>
      </c>
      <c r="K49" s="2" t="e">
        <f t="shared" si="3"/>
        <v>#DIV/0!</v>
      </c>
    </row>
    <row r="50" spans="1:11" x14ac:dyDescent="0.4">
      <c r="A50">
        <v>5432</v>
      </c>
      <c r="B50" t="s">
        <v>46</v>
      </c>
      <c r="E50" s="2" t="e">
        <f t="shared" si="28"/>
        <v>#DIV/0!</v>
      </c>
      <c r="G50" s="2" t="e">
        <f t="shared" si="28"/>
        <v>#DIV/0!</v>
      </c>
      <c r="H50" s="2" t="e">
        <f t="shared" si="1"/>
        <v>#DIV/0!</v>
      </c>
      <c r="I50" s="1"/>
      <c r="J50" s="2" t="e">
        <f t="shared" ref="J50" si="35">I50/$D$60</f>
        <v>#DIV/0!</v>
      </c>
      <c r="K50" s="2" t="e">
        <f t="shared" si="3"/>
        <v>#DIV/0!</v>
      </c>
    </row>
    <row r="51" spans="1:11" x14ac:dyDescent="0.4">
      <c r="A51">
        <v>5433</v>
      </c>
      <c r="B51" t="s">
        <v>41</v>
      </c>
      <c r="E51" s="2" t="e">
        <f t="shared" si="28"/>
        <v>#DIV/0!</v>
      </c>
      <c r="G51" s="2" t="e">
        <f t="shared" si="28"/>
        <v>#DIV/0!</v>
      </c>
      <c r="H51" s="2" t="e">
        <f t="shared" si="1"/>
        <v>#DIV/0!</v>
      </c>
      <c r="J51" s="2" t="e">
        <f t="shared" ref="J51" si="36">I51/$D$60</f>
        <v>#DIV/0!</v>
      </c>
      <c r="K51" s="2" t="e">
        <f t="shared" si="3"/>
        <v>#DIV/0!</v>
      </c>
    </row>
    <row r="52" spans="1:11" x14ac:dyDescent="0.4">
      <c r="C52" t="s">
        <v>47</v>
      </c>
      <c r="D52" s="1">
        <f>SUM(D45:D51)</f>
        <v>0</v>
      </c>
      <c r="E52" s="2"/>
      <c r="F52" s="1">
        <f>SUM(F45:F51)</f>
        <v>0</v>
      </c>
      <c r="G52" s="2"/>
      <c r="H52" s="2" t="e">
        <f t="shared" si="1"/>
        <v>#DIV/0!</v>
      </c>
      <c r="I52" s="1">
        <f>SUM(I45:I51)</f>
        <v>0</v>
      </c>
      <c r="J52" s="2"/>
      <c r="K52" s="2" t="e">
        <f t="shared" si="3"/>
        <v>#DIV/0!</v>
      </c>
    </row>
    <row r="53" spans="1:11" x14ac:dyDescent="0.4">
      <c r="A53">
        <v>6312</v>
      </c>
      <c r="B53" t="s">
        <v>48</v>
      </c>
      <c r="D53" s="1"/>
      <c r="E53" s="2" t="e">
        <f t="shared" si="28"/>
        <v>#DIV/0!</v>
      </c>
      <c r="F53" s="1"/>
      <c r="G53" s="2" t="e">
        <f t="shared" si="28"/>
        <v>#DIV/0!</v>
      </c>
      <c r="H53" s="2" t="e">
        <f t="shared" si="1"/>
        <v>#DIV/0!</v>
      </c>
      <c r="I53" s="1"/>
      <c r="J53" s="2" t="e">
        <f t="shared" ref="J53" si="37">I53/$D$60</f>
        <v>#DIV/0!</v>
      </c>
      <c r="K53" s="2" t="e">
        <f t="shared" si="3"/>
        <v>#DIV/0!</v>
      </c>
    </row>
    <row r="54" spans="1:11" x14ac:dyDescent="0.4">
      <c r="A54">
        <v>6226</v>
      </c>
      <c r="B54" t="s">
        <v>49</v>
      </c>
      <c r="D54" s="1"/>
      <c r="E54" s="2" t="e">
        <f t="shared" si="28"/>
        <v>#DIV/0!</v>
      </c>
      <c r="F54" s="1"/>
      <c r="G54" s="2" t="e">
        <f t="shared" si="28"/>
        <v>#DIV/0!</v>
      </c>
      <c r="H54" s="2" t="e">
        <f t="shared" si="1"/>
        <v>#DIV/0!</v>
      </c>
      <c r="I54" s="1"/>
      <c r="J54" s="2" t="e">
        <f t="shared" ref="J54" si="38">I54/$D$60</f>
        <v>#DIV/0!</v>
      </c>
      <c r="K54" s="2" t="e">
        <f t="shared" si="3"/>
        <v>#DIV/0!</v>
      </c>
    </row>
    <row r="55" spans="1:11" x14ac:dyDescent="0.4">
      <c r="A55">
        <v>6119</v>
      </c>
      <c r="B55" t="s">
        <v>50</v>
      </c>
      <c r="D55" s="1"/>
      <c r="E55" s="2" t="e">
        <f t="shared" si="28"/>
        <v>#DIV/0!</v>
      </c>
      <c r="F55" s="1"/>
      <c r="G55" s="2" t="e">
        <f t="shared" si="28"/>
        <v>#DIV/0!</v>
      </c>
      <c r="H55" s="2" t="e">
        <f t="shared" si="1"/>
        <v>#DIV/0!</v>
      </c>
      <c r="I55" s="1"/>
      <c r="J55" s="2" t="e">
        <f t="shared" ref="J55" si="39">I55/$D$60</f>
        <v>#DIV/0!</v>
      </c>
      <c r="K55" s="2" t="e">
        <f t="shared" si="3"/>
        <v>#DIV/0!</v>
      </c>
    </row>
    <row r="56" spans="1:11" x14ac:dyDescent="0.4">
      <c r="A56">
        <v>5434</v>
      </c>
      <c r="B56" t="s">
        <v>48</v>
      </c>
      <c r="E56" s="2" t="e">
        <f t="shared" si="28"/>
        <v>#DIV/0!</v>
      </c>
      <c r="G56" s="2" t="e">
        <f t="shared" si="28"/>
        <v>#DIV/0!</v>
      </c>
      <c r="H56" s="2" t="e">
        <f t="shared" si="1"/>
        <v>#DIV/0!</v>
      </c>
      <c r="J56" s="2" t="e">
        <f t="shared" ref="J56" si="40">I56/$D$60</f>
        <v>#DIV/0!</v>
      </c>
      <c r="K56" s="2" t="e">
        <f t="shared" si="3"/>
        <v>#DIV/0!</v>
      </c>
    </row>
    <row r="57" spans="1:11" x14ac:dyDescent="0.4">
      <c r="A57">
        <v>5435</v>
      </c>
      <c r="B57" t="s">
        <v>49</v>
      </c>
      <c r="E57" s="2" t="e">
        <f t="shared" si="28"/>
        <v>#DIV/0!</v>
      </c>
      <c r="G57" s="2" t="e">
        <f t="shared" si="28"/>
        <v>#DIV/0!</v>
      </c>
      <c r="H57" s="2" t="e">
        <f t="shared" si="1"/>
        <v>#DIV/0!</v>
      </c>
      <c r="J57" s="2" t="e">
        <f t="shared" ref="J57" si="41">I57/$D$60</f>
        <v>#DIV/0!</v>
      </c>
      <c r="K57" s="2" t="e">
        <f t="shared" si="3"/>
        <v>#DIV/0!</v>
      </c>
    </row>
    <row r="58" spans="1:11" x14ac:dyDescent="0.4">
      <c r="A58">
        <v>5438</v>
      </c>
      <c r="B58" t="s">
        <v>51</v>
      </c>
      <c r="E58" s="2" t="e">
        <f t="shared" si="28"/>
        <v>#DIV/0!</v>
      </c>
      <c r="G58" s="2" t="e">
        <f t="shared" si="28"/>
        <v>#DIV/0!</v>
      </c>
      <c r="H58" s="2" t="e">
        <f t="shared" si="1"/>
        <v>#DIV/0!</v>
      </c>
      <c r="J58" s="2" t="e">
        <f t="shared" ref="J58" si="42">I58/$D$60</f>
        <v>#DIV/0!</v>
      </c>
      <c r="K58" s="2" t="e">
        <f t="shared" si="3"/>
        <v>#DIV/0!</v>
      </c>
    </row>
    <row r="59" spans="1:11" x14ac:dyDescent="0.4">
      <c r="C59" t="s">
        <v>52</v>
      </c>
      <c r="D59" s="1">
        <f>SUM(D53:D58)</f>
        <v>0</v>
      </c>
      <c r="F59" s="1">
        <f>SUM(F53:F58)</f>
        <v>0</v>
      </c>
      <c r="H59" s="2"/>
      <c r="I59" s="1">
        <f>SUM(I53:I58)</f>
        <v>0</v>
      </c>
      <c r="K59" s="2"/>
    </row>
    <row r="60" spans="1:11" x14ac:dyDescent="0.4">
      <c r="C60" t="s">
        <v>53</v>
      </c>
      <c r="D60" s="1">
        <f>D44+D52+D59</f>
        <v>0</v>
      </c>
      <c r="E60" s="2" t="e">
        <f>SUM(E42:E59)</f>
        <v>#DIV/0!</v>
      </c>
      <c r="F60" s="1">
        <f>F44+F52+F59</f>
        <v>0</v>
      </c>
      <c r="G60" s="2" t="e">
        <f>SUM(G42:G59)</f>
        <v>#DIV/0!</v>
      </c>
      <c r="H60" s="2" t="e">
        <f t="shared" si="1"/>
        <v>#DIV/0!</v>
      </c>
      <c r="I60" s="1">
        <f>I44+I52+I59</f>
        <v>0</v>
      </c>
      <c r="J60" s="2" t="e">
        <f>SUM(J42:J59)</f>
        <v>#DIV/0!</v>
      </c>
      <c r="K60" s="2" t="e">
        <f t="shared" si="3"/>
        <v>#DIV/0!</v>
      </c>
    </row>
    <row r="61" spans="1:11" x14ac:dyDescent="0.4">
      <c r="A61">
        <v>6112</v>
      </c>
      <c r="B61" t="s">
        <v>54</v>
      </c>
      <c r="D61" s="1"/>
      <c r="E61" s="2" t="e">
        <f>D61/$D$83</f>
        <v>#DIV/0!</v>
      </c>
      <c r="F61" s="1"/>
      <c r="G61" s="2" t="e">
        <f>F61/$D$83</f>
        <v>#DIV/0!</v>
      </c>
      <c r="H61" s="2" t="e">
        <f t="shared" si="1"/>
        <v>#DIV/0!</v>
      </c>
      <c r="I61" s="1"/>
      <c r="J61" s="2" t="e">
        <f>I61/$D$83</f>
        <v>#DIV/0!</v>
      </c>
      <c r="K61" s="2" t="e">
        <f t="shared" si="3"/>
        <v>#DIV/0!</v>
      </c>
    </row>
    <row r="62" spans="1:11" x14ac:dyDescent="0.4">
      <c r="A62">
        <v>6113</v>
      </c>
      <c r="B62" t="s">
        <v>55</v>
      </c>
      <c r="D62" s="1"/>
      <c r="E62" s="2" t="e">
        <f t="shared" ref="E62:G82" si="43">D62/$D$83</f>
        <v>#DIV/0!</v>
      </c>
      <c r="F62" s="1"/>
      <c r="G62" s="2" t="e">
        <f t="shared" si="43"/>
        <v>#DIV/0!</v>
      </c>
      <c r="H62" s="2" t="e">
        <f t="shared" si="1"/>
        <v>#DIV/0!</v>
      </c>
      <c r="I62" s="1"/>
      <c r="J62" s="2" t="e">
        <f t="shared" ref="J62" si="44">I62/$D$83</f>
        <v>#DIV/0!</v>
      </c>
      <c r="K62" s="2" t="e">
        <f t="shared" si="3"/>
        <v>#DIV/0!</v>
      </c>
    </row>
    <row r="63" spans="1:11" x14ac:dyDescent="0.4">
      <c r="A63">
        <v>6114</v>
      </c>
      <c r="B63" t="s">
        <v>56</v>
      </c>
      <c r="D63" s="1"/>
      <c r="E63" s="2" t="e">
        <f t="shared" si="43"/>
        <v>#DIV/0!</v>
      </c>
      <c r="F63" s="1"/>
      <c r="G63" s="2" t="e">
        <f t="shared" si="43"/>
        <v>#DIV/0!</v>
      </c>
      <c r="H63" s="2" t="e">
        <f t="shared" si="1"/>
        <v>#DIV/0!</v>
      </c>
      <c r="I63" s="1"/>
      <c r="J63" s="2" t="e">
        <f t="shared" ref="J63" si="45">I63/$D$83</f>
        <v>#DIV/0!</v>
      </c>
      <c r="K63" s="2" t="e">
        <f t="shared" si="3"/>
        <v>#DIV/0!</v>
      </c>
    </row>
    <row r="64" spans="1:11" x14ac:dyDescent="0.4">
      <c r="A64">
        <v>6115</v>
      </c>
      <c r="B64" t="s">
        <v>57</v>
      </c>
      <c r="D64" s="1"/>
      <c r="E64" s="2" t="e">
        <f t="shared" si="43"/>
        <v>#DIV/0!</v>
      </c>
      <c r="F64" s="1"/>
      <c r="G64" s="2" t="e">
        <f t="shared" si="43"/>
        <v>#DIV/0!</v>
      </c>
      <c r="H64" s="2" t="e">
        <f t="shared" si="1"/>
        <v>#DIV/0!</v>
      </c>
      <c r="I64" s="1"/>
      <c r="J64" s="2" t="e">
        <f t="shared" ref="J64" si="46">I64/$D$83</f>
        <v>#DIV/0!</v>
      </c>
      <c r="K64" s="2" t="e">
        <f t="shared" si="3"/>
        <v>#DIV/0!</v>
      </c>
    </row>
    <row r="65" spans="1:11" x14ac:dyDescent="0.4">
      <c r="A65">
        <v>6116</v>
      </c>
      <c r="D65" s="1"/>
      <c r="E65" s="2" t="e">
        <f t="shared" si="43"/>
        <v>#DIV/0!</v>
      </c>
      <c r="F65" s="1"/>
      <c r="G65" s="2" t="e">
        <f t="shared" si="43"/>
        <v>#DIV/0!</v>
      </c>
      <c r="H65" s="2" t="e">
        <f t="shared" si="1"/>
        <v>#DIV/0!</v>
      </c>
      <c r="I65" s="1"/>
      <c r="J65" s="2" t="e">
        <f t="shared" ref="J65" si="47">I65/$D$83</f>
        <v>#DIV/0!</v>
      </c>
      <c r="K65" s="2" t="e">
        <f t="shared" si="3"/>
        <v>#DIV/0!</v>
      </c>
    </row>
    <row r="66" spans="1:11" x14ac:dyDescent="0.4">
      <c r="A66">
        <v>6117</v>
      </c>
      <c r="B66" t="s">
        <v>58</v>
      </c>
      <c r="D66" s="1"/>
      <c r="E66" s="2" t="e">
        <f t="shared" si="43"/>
        <v>#DIV/0!</v>
      </c>
      <c r="F66" s="1"/>
      <c r="G66" s="2" t="e">
        <f t="shared" si="43"/>
        <v>#DIV/0!</v>
      </c>
      <c r="H66" s="2" t="e">
        <f t="shared" si="1"/>
        <v>#DIV/0!</v>
      </c>
      <c r="I66" s="1"/>
      <c r="J66" s="2" t="e">
        <f t="shared" ref="J66" si="48">I66/$D$83</f>
        <v>#DIV/0!</v>
      </c>
      <c r="K66" s="2" t="e">
        <f t="shared" si="3"/>
        <v>#DIV/0!</v>
      </c>
    </row>
    <row r="67" spans="1:11" x14ac:dyDescent="0.4">
      <c r="A67">
        <v>6118</v>
      </c>
      <c r="D67" s="1"/>
      <c r="E67" s="2" t="e">
        <f t="shared" si="43"/>
        <v>#DIV/0!</v>
      </c>
      <c r="F67" s="1"/>
      <c r="G67" s="2" t="e">
        <f t="shared" si="43"/>
        <v>#DIV/0!</v>
      </c>
      <c r="H67" s="2" t="e">
        <f t="shared" ref="H67:H115" si="49">F67/D67</f>
        <v>#DIV/0!</v>
      </c>
      <c r="I67" s="1"/>
      <c r="J67" s="2" t="e">
        <f t="shared" ref="J67" si="50">I67/$D$83</f>
        <v>#DIV/0!</v>
      </c>
      <c r="K67" s="2" t="e">
        <f t="shared" ref="K67:K115" si="51">I67/D67</f>
        <v>#DIV/0!</v>
      </c>
    </row>
    <row r="68" spans="1:11" x14ac:dyDescent="0.4">
      <c r="A68">
        <v>6217</v>
      </c>
      <c r="B68" t="s">
        <v>59</v>
      </c>
      <c r="D68" s="1"/>
      <c r="E68" s="2" t="e">
        <f t="shared" si="43"/>
        <v>#DIV/0!</v>
      </c>
      <c r="F68" s="1"/>
      <c r="G68" s="2" t="e">
        <f t="shared" si="43"/>
        <v>#DIV/0!</v>
      </c>
      <c r="H68" s="2" t="e">
        <f t="shared" si="49"/>
        <v>#DIV/0!</v>
      </c>
      <c r="I68" s="1"/>
      <c r="J68" s="2" t="e">
        <f t="shared" ref="J68" si="52">I68/$D$83</f>
        <v>#DIV/0!</v>
      </c>
      <c r="K68" s="2" t="e">
        <f t="shared" si="51"/>
        <v>#DIV/0!</v>
      </c>
    </row>
    <row r="69" spans="1:11" x14ac:dyDescent="0.4">
      <c r="A69">
        <v>6218</v>
      </c>
      <c r="B69" t="s">
        <v>60</v>
      </c>
      <c r="D69" s="1"/>
      <c r="E69" s="2" t="e">
        <f t="shared" si="43"/>
        <v>#DIV/0!</v>
      </c>
      <c r="F69" s="1"/>
      <c r="G69" s="2" t="e">
        <f t="shared" si="43"/>
        <v>#DIV/0!</v>
      </c>
      <c r="H69" s="2" t="e">
        <f t="shared" si="49"/>
        <v>#DIV/0!</v>
      </c>
      <c r="I69" s="1"/>
      <c r="J69" s="2" t="e">
        <f t="shared" ref="J69" si="53">I69/$D$83</f>
        <v>#DIV/0!</v>
      </c>
      <c r="K69" s="2" t="e">
        <f t="shared" si="51"/>
        <v>#DIV/0!</v>
      </c>
    </row>
    <row r="70" spans="1:11" x14ac:dyDescent="0.4">
      <c r="A70">
        <v>6219</v>
      </c>
      <c r="B70" t="s">
        <v>61</v>
      </c>
      <c r="D70" s="1"/>
      <c r="E70" s="2" t="e">
        <f t="shared" si="43"/>
        <v>#DIV/0!</v>
      </c>
      <c r="F70" s="1"/>
      <c r="G70" s="2" t="e">
        <f t="shared" si="43"/>
        <v>#DIV/0!</v>
      </c>
      <c r="H70" s="2" t="e">
        <f t="shared" si="49"/>
        <v>#DIV/0!</v>
      </c>
      <c r="I70" s="1"/>
      <c r="J70" s="2" t="e">
        <f t="shared" ref="J70" si="54">I70/$D$83</f>
        <v>#DIV/0!</v>
      </c>
      <c r="K70" s="2" t="e">
        <f t="shared" si="51"/>
        <v>#DIV/0!</v>
      </c>
    </row>
    <row r="71" spans="1:11" x14ac:dyDescent="0.4">
      <c r="A71">
        <v>6221</v>
      </c>
      <c r="B71" t="s">
        <v>62</v>
      </c>
      <c r="D71" s="1"/>
      <c r="E71" s="2" t="e">
        <f t="shared" si="43"/>
        <v>#DIV/0!</v>
      </c>
      <c r="F71" s="1"/>
      <c r="G71" s="2" t="e">
        <f t="shared" si="43"/>
        <v>#DIV/0!</v>
      </c>
      <c r="H71" s="2" t="e">
        <f t="shared" si="49"/>
        <v>#DIV/0!</v>
      </c>
      <c r="I71" s="1"/>
      <c r="J71" s="2" t="e">
        <f t="shared" ref="J71" si="55">I71/$D$83</f>
        <v>#DIV/0!</v>
      </c>
      <c r="K71" s="2" t="e">
        <f t="shared" si="51"/>
        <v>#DIV/0!</v>
      </c>
    </row>
    <row r="72" spans="1:11" x14ac:dyDescent="0.4">
      <c r="A72">
        <v>6222</v>
      </c>
      <c r="B72" t="s">
        <v>63</v>
      </c>
      <c r="D72" s="1"/>
      <c r="E72" s="2" t="e">
        <f t="shared" si="43"/>
        <v>#DIV/0!</v>
      </c>
      <c r="F72" s="1"/>
      <c r="G72" s="2" t="e">
        <f t="shared" si="43"/>
        <v>#DIV/0!</v>
      </c>
      <c r="H72" s="2" t="e">
        <f t="shared" si="49"/>
        <v>#DIV/0!</v>
      </c>
      <c r="I72" s="1"/>
      <c r="J72" s="2" t="e">
        <f t="shared" ref="J72" si="56">I72/$D$83</f>
        <v>#DIV/0!</v>
      </c>
      <c r="K72" s="2" t="e">
        <f t="shared" si="51"/>
        <v>#DIV/0!</v>
      </c>
    </row>
    <row r="73" spans="1:11" x14ac:dyDescent="0.4">
      <c r="A73">
        <v>6223</v>
      </c>
      <c r="B73" t="s">
        <v>64</v>
      </c>
      <c r="D73" s="1"/>
      <c r="E73" s="2" t="e">
        <f t="shared" si="43"/>
        <v>#DIV/0!</v>
      </c>
      <c r="F73" s="1"/>
      <c r="G73" s="2" t="e">
        <f t="shared" si="43"/>
        <v>#DIV/0!</v>
      </c>
      <c r="H73" s="2" t="e">
        <f t="shared" si="49"/>
        <v>#DIV/0!</v>
      </c>
      <c r="I73" s="1"/>
      <c r="J73" s="2" t="e">
        <f t="shared" ref="J73" si="57">I73/$D$83</f>
        <v>#DIV/0!</v>
      </c>
      <c r="K73" s="2" t="e">
        <f t="shared" si="51"/>
        <v>#DIV/0!</v>
      </c>
    </row>
    <row r="74" spans="1:11" x14ac:dyDescent="0.4">
      <c r="A74">
        <v>6225</v>
      </c>
      <c r="B74" t="s">
        <v>65</v>
      </c>
      <c r="D74" s="1"/>
      <c r="E74" s="2" t="e">
        <f t="shared" si="43"/>
        <v>#DIV/0!</v>
      </c>
      <c r="F74" s="1"/>
      <c r="G74" s="2" t="e">
        <f t="shared" si="43"/>
        <v>#DIV/0!</v>
      </c>
      <c r="H74" s="2" t="e">
        <f t="shared" si="49"/>
        <v>#DIV/0!</v>
      </c>
      <c r="I74" s="1"/>
      <c r="J74" s="2" t="e">
        <f t="shared" ref="J74" si="58">I74/$D$83</f>
        <v>#DIV/0!</v>
      </c>
      <c r="K74" s="2" t="e">
        <f t="shared" si="51"/>
        <v>#DIV/0!</v>
      </c>
    </row>
    <row r="75" spans="1:11" x14ac:dyDescent="0.4">
      <c r="A75">
        <v>6227</v>
      </c>
      <c r="B75" t="s">
        <v>66</v>
      </c>
      <c r="D75" s="1"/>
      <c r="E75" s="2" t="e">
        <f t="shared" si="43"/>
        <v>#DIV/0!</v>
      </c>
      <c r="F75" s="1"/>
      <c r="G75" s="2" t="e">
        <f t="shared" si="43"/>
        <v>#DIV/0!</v>
      </c>
      <c r="H75" s="2" t="e">
        <f t="shared" si="49"/>
        <v>#DIV/0!</v>
      </c>
      <c r="I75" s="1"/>
      <c r="J75" s="2" t="e">
        <f t="shared" ref="J75" si="59">I75/$D$83</f>
        <v>#DIV/0!</v>
      </c>
      <c r="K75" s="2" t="e">
        <f t="shared" si="51"/>
        <v>#DIV/0!</v>
      </c>
    </row>
    <row r="76" spans="1:11" x14ac:dyDescent="0.4">
      <c r="A76">
        <v>6228</v>
      </c>
      <c r="B76" t="s">
        <v>67</v>
      </c>
      <c r="D76" s="1"/>
      <c r="E76" s="2" t="e">
        <f t="shared" si="43"/>
        <v>#DIV/0!</v>
      </c>
      <c r="F76" s="1"/>
      <c r="G76" s="2" t="e">
        <f t="shared" si="43"/>
        <v>#DIV/0!</v>
      </c>
      <c r="H76" s="2" t="e">
        <f t="shared" si="49"/>
        <v>#DIV/0!</v>
      </c>
      <c r="I76" s="1"/>
      <c r="J76" s="2" t="e">
        <f t="shared" ref="J76" si="60">I76/$D$83</f>
        <v>#DIV/0!</v>
      </c>
      <c r="K76" s="2" t="e">
        <f t="shared" si="51"/>
        <v>#DIV/0!</v>
      </c>
    </row>
    <row r="77" spans="1:11" x14ac:dyDescent="0.4">
      <c r="A77">
        <v>6229</v>
      </c>
      <c r="D77" s="1"/>
      <c r="E77" s="2" t="e">
        <f t="shared" si="43"/>
        <v>#DIV/0!</v>
      </c>
      <c r="F77" s="1"/>
      <c r="G77" s="2" t="e">
        <f t="shared" si="43"/>
        <v>#DIV/0!</v>
      </c>
      <c r="H77" s="2" t="e">
        <f t="shared" si="49"/>
        <v>#DIV/0!</v>
      </c>
      <c r="I77" s="1"/>
      <c r="J77" s="2" t="e">
        <f t="shared" ref="J77" si="61">I77/$D$83</f>
        <v>#DIV/0!</v>
      </c>
      <c r="K77" s="2" t="e">
        <f t="shared" si="51"/>
        <v>#DIV/0!</v>
      </c>
    </row>
    <row r="78" spans="1:11" x14ac:dyDescent="0.4">
      <c r="A78">
        <v>6313</v>
      </c>
      <c r="B78" t="s">
        <v>68</v>
      </c>
      <c r="D78" s="1"/>
      <c r="E78" s="2" t="e">
        <f t="shared" si="43"/>
        <v>#DIV/0!</v>
      </c>
      <c r="F78" s="1"/>
      <c r="G78" s="2" t="e">
        <f t="shared" si="43"/>
        <v>#DIV/0!</v>
      </c>
      <c r="H78" s="2" t="e">
        <f t="shared" si="49"/>
        <v>#DIV/0!</v>
      </c>
      <c r="I78" s="1"/>
      <c r="J78" s="2" t="e">
        <f t="shared" ref="J78" si="62">I78/$D$83</f>
        <v>#DIV/0!</v>
      </c>
      <c r="K78" s="2" t="e">
        <f t="shared" si="51"/>
        <v>#DIV/0!</v>
      </c>
    </row>
    <row r="79" spans="1:11" x14ac:dyDescent="0.4">
      <c r="A79">
        <v>6233</v>
      </c>
      <c r="B79" t="s">
        <v>69</v>
      </c>
      <c r="D79" s="1"/>
      <c r="E79" s="2" t="e">
        <f t="shared" si="43"/>
        <v>#DIV/0!</v>
      </c>
      <c r="F79" s="1"/>
      <c r="G79" s="2" t="e">
        <f t="shared" si="43"/>
        <v>#DIV/0!</v>
      </c>
      <c r="H79" s="2" t="e">
        <f t="shared" si="49"/>
        <v>#DIV/0!</v>
      </c>
      <c r="I79" s="1"/>
      <c r="J79" s="2" t="e">
        <f t="shared" ref="J79" si="63">I79/$D$83</f>
        <v>#DIV/0!</v>
      </c>
      <c r="K79" s="2" t="e">
        <f t="shared" si="51"/>
        <v>#DIV/0!</v>
      </c>
    </row>
    <row r="80" spans="1:11" x14ac:dyDescent="0.4">
      <c r="A80">
        <v>6314</v>
      </c>
      <c r="B80" t="s">
        <v>70</v>
      </c>
      <c r="D80" s="1"/>
      <c r="E80" s="2" t="e">
        <f t="shared" si="43"/>
        <v>#DIV/0!</v>
      </c>
      <c r="F80" s="1"/>
      <c r="G80" s="2" t="e">
        <f t="shared" si="43"/>
        <v>#DIV/0!</v>
      </c>
      <c r="H80" s="2" t="e">
        <f t="shared" si="49"/>
        <v>#DIV/0!</v>
      </c>
      <c r="I80" s="1"/>
      <c r="J80" s="2" t="e">
        <f t="shared" ref="J80" si="64">I80/$D$83</f>
        <v>#DIV/0!</v>
      </c>
      <c r="K80" s="2" t="e">
        <f t="shared" si="51"/>
        <v>#DIV/0!</v>
      </c>
    </row>
    <row r="81" spans="1:11" x14ac:dyDescent="0.4">
      <c r="A81">
        <v>6231</v>
      </c>
      <c r="B81" t="s">
        <v>36</v>
      </c>
      <c r="D81" s="1"/>
      <c r="E81" s="2" t="e">
        <f t="shared" si="43"/>
        <v>#DIV/0!</v>
      </c>
      <c r="F81" s="1"/>
      <c r="G81" s="2" t="e">
        <f t="shared" si="43"/>
        <v>#DIV/0!</v>
      </c>
      <c r="H81" s="2" t="e">
        <f t="shared" si="49"/>
        <v>#DIV/0!</v>
      </c>
      <c r="I81" s="1"/>
      <c r="J81" s="2" t="e">
        <f t="shared" ref="J81" si="65">I81/$D$83</f>
        <v>#DIV/0!</v>
      </c>
      <c r="K81" s="2" t="e">
        <f t="shared" si="51"/>
        <v>#DIV/0!</v>
      </c>
    </row>
    <row r="82" spans="1:11" x14ac:dyDescent="0.4">
      <c r="A82">
        <v>5457</v>
      </c>
      <c r="B82" t="s">
        <v>62</v>
      </c>
      <c r="E82" s="2" t="e">
        <f t="shared" si="43"/>
        <v>#DIV/0!</v>
      </c>
      <c r="G82" s="2" t="e">
        <f t="shared" si="43"/>
        <v>#DIV/0!</v>
      </c>
      <c r="H82" s="2" t="e">
        <f t="shared" si="49"/>
        <v>#DIV/0!</v>
      </c>
      <c r="J82" s="2" t="e">
        <f t="shared" ref="J82" si="66">I82/$D$83</f>
        <v>#DIV/0!</v>
      </c>
      <c r="K82" s="2" t="e">
        <f t="shared" si="51"/>
        <v>#DIV/0!</v>
      </c>
    </row>
    <row r="83" spans="1:11" x14ac:dyDescent="0.4">
      <c r="C83" t="s">
        <v>71</v>
      </c>
      <c r="D83" s="1">
        <f>SUM(D61:D82)</f>
        <v>0</v>
      </c>
      <c r="E83" s="2" t="e">
        <f>SUM(E61:E82)</f>
        <v>#DIV/0!</v>
      </c>
      <c r="F83" s="1">
        <f>SUM(F61:F82)</f>
        <v>0</v>
      </c>
      <c r="G83" s="2" t="e">
        <f>SUM(G61:G82)</f>
        <v>#DIV/0!</v>
      </c>
      <c r="H83" s="2" t="e">
        <f t="shared" si="49"/>
        <v>#DIV/0!</v>
      </c>
      <c r="I83" s="1">
        <f>SUM(I61:I82)</f>
        <v>0</v>
      </c>
      <c r="J83" s="2" t="e">
        <f>SUM(J61:J82)</f>
        <v>#DIV/0!</v>
      </c>
      <c r="K83" s="2" t="e">
        <f t="shared" si="51"/>
        <v>#DIV/0!</v>
      </c>
    </row>
    <row r="84" spans="1:11" x14ac:dyDescent="0.4">
      <c r="A84">
        <v>7111</v>
      </c>
      <c r="B84" t="s">
        <v>72</v>
      </c>
      <c r="D84" s="1"/>
      <c r="E84" s="2" t="e">
        <f>D84/$D$89</f>
        <v>#DIV/0!</v>
      </c>
      <c r="F84" s="1"/>
      <c r="G84" s="2" t="e">
        <f>F84/$D$89</f>
        <v>#DIV/0!</v>
      </c>
      <c r="H84" s="2" t="e">
        <f t="shared" si="49"/>
        <v>#DIV/0!</v>
      </c>
      <c r="I84" s="1"/>
      <c r="J84" s="2" t="e">
        <f>I84/$D$89</f>
        <v>#DIV/0!</v>
      </c>
      <c r="K84" s="2" t="e">
        <f t="shared" si="51"/>
        <v>#DIV/0!</v>
      </c>
    </row>
    <row r="85" spans="1:11" x14ac:dyDescent="0.4">
      <c r="A85">
        <v>7112</v>
      </c>
      <c r="D85" s="1"/>
      <c r="E85" s="2" t="e">
        <f t="shared" ref="E85:G88" si="67">D85/$D$89</f>
        <v>#DIV/0!</v>
      </c>
      <c r="F85" s="1"/>
      <c r="G85" s="2" t="e">
        <f t="shared" si="67"/>
        <v>#DIV/0!</v>
      </c>
      <c r="H85" s="2" t="e">
        <f t="shared" si="49"/>
        <v>#DIV/0!</v>
      </c>
      <c r="I85" s="1"/>
      <c r="J85" s="2" t="e">
        <f t="shared" ref="J85" si="68">I85/$D$89</f>
        <v>#DIV/0!</v>
      </c>
      <c r="K85" s="2" t="e">
        <f t="shared" si="51"/>
        <v>#DIV/0!</v>
      </c>
    </row>
    <row r="86" spans="1:11" x14ac:dyDescent="0.4">
      <c r="A86">
        <v>7113</v>
      </c>
      <c r="D86" s="1"/>
      <c r="E86" s="2" t="e">
        <f t="shared" si="67"/>
        <v>#DIV/0!</v>
      </c>
      <c r="F86" s="1"/>
      <c r="G86" s="2" t="e">
        <f t="shared" si="67"/>
        <v>#DIV/0!</v>
      </c>
      <c r="H86" s="2" t="e">
        <f t="shared" si="49"/>
        <v>#DIV/0!</v>
      </c>
      <c r="I86" s="1"/>
      <c r="J86" s="2" t="e">
        <f t="shared" ref="J86" si="69">I86/$D$89</f>
        <v>#DIV/0!</v>
      </c>
      <c r="K86" s="2" t="e">
        <f t="shared" si="51"/>
        <v>#DIV/0!</v>
      </c>
    </row>
    <row r="87" spans="1:11" x14ac:dyDescent="0.4">
      <c r="A87">
        <v>7114</v>
      </c>
      <c r="B87" t="s">
        <v>73</v>
      </c>
      <c r="D87" s="1"/>
      <c r="E87" s="2" t="e">
        <f t="shared" si="67"/>
        <v>#DIV/0!</v>
      </c>
      <c r="F87" s="1"/>
      <c r="G87" s="2" t="e">
        <f t="shared" si="67"/>
        <v>#DIV/0!</v>
      </c>
      <c r="H87" s="2" t="e">
        <f t="shared" si="49"/>
        <v>#DIV/0!</v>
      </c>
      <c r="I87" s="1"/>
      <c r="J87" s="2" t="e">
        <f t="shared" ref="J87" si="70">I87/$D$89</f>
        <v>#DIV/0!</v>
      </c>
      <c r="K87" s="2" t="e">
        <f t="shared" si="51"/>
        <v>#DIV/0!</v>
      </c>
    </row>
    <row r="88" spans="1:11" x14ac:dyDescent="0.4">
      <c r="A88">
        <v>7118</v>
      </c>
      <c r="B88" t="s">
        <v>74</v>
      </c>
      <c r="E88" s="2" t="e">
        <f t="shared" si="67"/>
        <v>#DIV/0!</v>
      </c>
      <c r="G88" s="2" t="e">
        <f t="shared" si="67"/>
        <v>#DIV/0!</v>
      </c>
      <c r="H88" s="2" t="e">
        <f t="shared" si="49"/>
        <v>#DIV/0!</v>
      </c>
      <c r="J88" s="2" t="e">
        <f t="shared" ref="J88" si="71">I88/$D$89</f>
        <v>#DIV/0!</v>
      </c>
      <c r="K88" s="2" t="e">
        <f t="shared" si="51"/>
        <v>#DIV/0!</v>
      </c>
    </row>
    <row r="89" spans="1:11" x14ac:dyDescent="0.4">
      <c r="A89">
        <v>7100</v>
      </c>
      <c r="B89" t="s">
        <v>75</v>
      </c>
      <c r="D89" s="1">
        <f>SUM(D84:D88)</f>
        <v>0</v>
      </c>
      <c r="E89" s="2" t="e">
        <f>SUM(E84:E88)</f>
        <v>#DIV/0!</v>
      </c>
      <c r="F89" s="1">
        <f>SUM(F84:F88)</f>
        <v>0</v>
      </c>
      <c r="G89" s="2" t="e">
        <f>SUM(G84:G88)</f>
        <v>#DIV/0!</v>
      </c>
      <c r="H89" s="2" t="e">
        <f t="shared" si="49"/>
        <v>#DIV/0!</v>
      </c>
      <c r="I89" s="1">
        <f>SUM(I84:I88)</f>
        <v>0</v>
      </c>
      <c r="J89" s="2" t="e">
        <f>SUM(J84:J88)</f>
        <v>#DIV/0!</v>
      </c>
      <c r="K89" s="2" t="e">
        <f t="shared" si="51"/>
        <v>#DIV/0!</v>
      </c>
    </row>
    <row r="90" spans="1:11" x14ac:dyDescent="0.4">
      <c r="A90">
        <v>7511</v>
      </c>
      <c r="B90" t="s">
        <v>76</v>
      </c>
      <c r="D90" s="1"/>
      <c r="E90" s="2" t="e">
        <f>D90/$D$97</f>
        <v>#DIV/0!</v>
      </c>
      <c r="F90" s="1"/>
      <c r="G90" s="2" t="e">
        <f>F90/$D$97</f>
        <v>#DIV/0!</v>
      </c>
      <c r="H90" s="2" t="e">
        <f t="shared" si="49"/>
        <v>#DIV/0!</v>
      </c>
      <c r="I90" s="1"/>
      <c r="J90" s="2" t="e">
        <f>I90/$D$97</f>
        <v>#DIV/0!</v>
      </c>
      <c r="K90" s="2" t="e">
        <f t="shared" si="51"/>
        <v>#DIV/0!</v>
      </c>
    </row>
    <row r="91" spans="1:11" x14ac:dyDescent="0.4">
      <c r="A91">
        <v>7518</v>
      </c>
      <c r="B91" t="s">
        <v>77</v>
      </c>
      <c r="D91" s="1"/>
      <c r="E91" s="2" t="e">
        <f t="shared" ref="E91:G96" si="72">D91/$D$97</f>
        <v>#DIV/0!</v>
      </c>
      <c r="F91" s="1"/>
      <c r="G91" s="2" t="e">
        <f t="shared" si="72"/>
        <v>#DIV/0!</v>
      </c>
      <c r="H91" s="2" t="e">
        <f t="shared" si="49"/>
        <v>#DIV/0!</v>
      </c>
      <c r="I91" s="1"/>
      <c r="J91" s="2" t="e">
        <f t="shared" ref="J91" si="73">I91/$D$97</f>
        <v>#DIV/0!</v>
      </c>
      <c r="K91" s="2" t="e">
        <f t="shared" si="51"/>
        <v>#DIV/0!</v>
      </c>
    </row>
    <row r="92" spans="1:11" x14ac:dyDescent="0.4">
      <c r="A92">
        <v>7512</v>
      </c>
      <c r="D92" s="1"/>
      <c r="E92" s="2" t="e">
        <f t="shared" si="72"/>
        <v>#DIV/0!</v>
      </c>
      <c r="F92" s="1"/>
      <c r="G92" s="2" t="e">
        <f t="shared" si="72"/>
        <v>#DIV/0!</v>
      </c>
      <c r="H92" s="2" t="e">
        <f t="shared" si="49"/>
        <v>#DIV/0!</v>
      </c>
      <c r="I92" s="1"/>
      <c r="J92" s="2" t="e">
        <f t="shared" ref="J92" si="74">I92/$D$97</f>
        <v>#DIV/0!</v>
      </c>
      <c r="K92" s="2" t="e">
        <f t="shared" si="51"/>
        <v>#DIV/0!</v>
      </c>
    </row>
    <row r="93" spans="1:11" x14ac:dyDescent="0.4">
      <c r="A93">
        <v>7513</v>
      </c>
      <c r="D93" s="1"/>
      <c r="E93" s="2" t="e">
        <f t="shared" si="72"/>
        <v>#DIV/0!</v>
      </c>
      <c r="F93" s="1"/>
      <c r="G93" s="2" t="e">
        <f t="shared" si="72"/>
        <v>#DIV/0!</v>
      </c>
      <c r="H93" s="2" t="e">
        <f t="shared" si="49"/>
        <v>#DIV/0!</v>
      </c>
      <c r="I93" s="1"/>
      <c r="J93" s="2" t="e">
        <f t="shared" ref="J93" si="75">I93/$D$97</f>
        <v>#DIV/0!</v>
      </c>
      <c r="K93" s="2" t="e">
        <f t="shared" si="51"/>
        <v>#DIV/0!</v>
      </c>
    </row>
    <row r="94" spans="1:11" x14ac:dyDescent="0.4">
      <c r="A94">
        <v>7514</v>
      </c>
      <c r="B94" t="s">
        <v>70</v>
      </c>
      <c r="D94" s="1"/>
      <c r="E94" s="2" t="e">
        <f t="shared" si="72"/>
        <v>#DIV/0!</v>
      </c>
      <c r="F94" s="1"/>
      <c r="G94" s="2" t="e">
        <f t="shared" si="72"/>
        <v>#DIV/0!</v>
      </c>
      <c r="H94" s="2" t="e">
        <f t="shared" si="49"/>
        <v>#DIV/0!</v>
      </c>
      <c r="I94" s="1"/>
      <c r="J94" s="2" t="e">
        <f t="shared" ref="J94" si="76">I94/$D$97</f>
        <v>#DIV/0!</v>
      </c>
      <c r="K94" s="2" t="e">
        <f t="shared" si="51"/>
        <v>#DIV/0!</v>
      </c>
    </row>
    <row r="95" spans="1:11" x14ac:dyDescent="0.4">
      <c r="A95">
        <v>7515</v>
      </c>
      <c r="B95" t="s">
        <v>78</v>
      </c>
      <c r="D95" s="1"/>
      <c r="E95" s="2" t="e">
        <f t="shared" si="72"/>
        <v>#DIV/0!</v>
      </c>
      <c r="F95" s="1"/>
      <c r="G95" s="2" t="e">
        <f t="shared" si="72"/>
        <v>#DIV/0!</v>
      </c>
      <c r="H95" s="2" t="e">
        <f t="shared" si="49"/>
        <v>#DIV/0!</v>
      </c>
      <c r="I95" s="1"/>
      <c r="J95" s="2" t="e">
        <f t="shared" ref="J95" si="77">I95/$D$97</f>
        <v>#DIV/0!</v>
      </c>
      <c r="K95" s="2" t="e">
        <f t="shared" si="51"/>
        <v>#DIV/0!</v>
      </c>
    </row>
    <row r="96" spans="1:11" x14ac:dyDescent="0.4">
      <c r="A96">
        <v>7519</v>
      </c>
      <c r="B96" t="s">
        <v>79</v>
      </c>
      <c r="D96" s="1"/>
      <c r="E96" s="2" t="e">
        <f t="shared" si="72"/>
        <v>#DIV/0!</v>
      </c>
      <c r="F96" s="1"/>
      <c r="G96" s="2" t="e">
        <f t="shared" si="72"/>
        <v>#DIV/0!</v>
      </c>
      <c r="H96" s="2" t="e">
        <f t="shared" si="49"/>
        <v>#DIV/0!</v>
      </c>
      <c r="I96" s="1"/>
      <c r="J96" s="2" t="e">
        <f t="shared" ref="J96" si="78">I96/$D$97</f>
        <v>#DIV/0!</v>
      </c>
      <c r="K96" s="2" t="e">
        <f t="shared" si="51"/>
        <v>#DIV/0!</v>
      </c>
    </row>
    <row r="97" spans="1:11" x14ac:dyDescent="0.4">
      <c r="A97">
        <v>7200</v>
      </c>
      <c r="B97" t="s">
        <v>80</v>
      </c>
      <c r="D97" s="1">
        <f>SUM(D90:D96)</f>
        <v>0</v>
      </c>
      <c r="E97" s="2" t="e">
        <f>SUM(E90:E96)</f>
        <v>#DIV/0!</v>
      </c>
      <c r="F97" s="1">
        <f>SUM(F90:F96)</f>
        <v>0</v>
      </c>
      <c r="G97" s="2" t="e">
        <f>SUM(G90:G96)</f>
        <v>#DIV/0!</v>
      </c>
      <c r="H97" s="2" t="e">
        <f t="shared" si="49"/>
        <v>#DIV/0!</v>
      </c>
      <c r="I97" s="1">
        <f>SUM(I90:I96)</f>
        <v>0</v>
      </c>
      <c r="J97" s="2" t="e">
        <f>SUM(J90:J96)</f>
        <v>#DIV/0!</v>
      </c>
      <c r="K97" s="2" t="e">
        <f t="shared" si="51"/>
        <v>#DIV/0!</v>
      </c>
    </row>
    <row r="98" spans="1:11" x14ac:dyDescent="0.4">
      <c r="C98" t="s">
        <v>81</v>
      </c>
      <c r="D98" s="1">
        <f>D97-D89</f>
        <v>0</v>
      </c>
      <c r="F98" s="1">
        <f>F97-F89</f>
        <v>0</v>
      </c>
      <c r="H98" s="2"/>
      <c r="I98" s="1">
        <f>I97-I89</f>
        <v>0</v>
      </c>
      <c r="K98" s="2"/>
    </row>
    <row r="99" spans="1:11" x14ac:dyDescent="0.4">
      <c r="C99" t="s">
        <v>82</v>
      </c>
      <c r="D99" s="1">
        <f>D60+D83+D98</f>
        <v>0</v>
      </c>
      <c r="E99" s="2" t="e">
        <f>D99/D7</f>
        <v>#DIV/0!</v>
      </c>
      <c r="F99" s="1">
        <f>F60+F83+F98</f>
        <v>0</v>
      </c>
      <c r="G99" s="2" t="e">
        <f>F99/F7</f>
        <v>#DIV/0!</v>
      </c>
      <c r="H99" s="2" t="e">
        <f t="shared" si="49"/>
        <v>#DIV/0!</v>
      </c>
      <c r="I99" s="1">
        <f>I60+I83+I98</f>
        <v>0</v>
      </c>
      <c r="J99" s="2" t="e">
        <f>I99/I7</f>
        <v>#DIV/0!</v>
      </c>
      <c r="K99" s="2" t="e">
        <f t="shared" si="51"/>
        <v>#DIV/0!</v>
      </c>
    </row>
    <row r="100" spans="1:11" x14ac:dyDescent="0.4">
      <c r="C100" t="s">
        <v>83</v>
      </c>
      <c r="D100" s="1">
        <f>D41-D99</f>
        <v>0</v>
      </c>
      <c r="E100" s="2" t="e">
        <f>D100/D7</f>
        <v>#DIV/0!</v>
      </c>
      <c r="F100" s="1">
        <f>F41-F99</f>
        <v>0</v>
      </c>
      <c r="G100" s="2" t="e">
        <f>F100/F7</f>
        <v>#DIV/0!</v>
      </c>
      <c r="H100" s="2" t="e">
        <f t="shared" si="49"/>
        <v>#DIV/0!</v>
      </c>
      <c r="I100" s="1">
        <f>I41-I99</f>
        <v>0</v>
      </c>
      <c r="J100" s="2" t="e">
        <f>I100/I7</f>
        <v>#DIV/0!</v>
      </c>
      <c r="K100" s="2" t="e">
        <f t="shared" si="51"/>
        <v>#DIV/0!</v>
      </c>
    </row>
    <row r="101" spans="1:11" x14ac:dyDescent="0.4">
      <c r="A101">
        <v>6214</v>
      </c>
      <c r="B101" t="s">
        <v>84</v>
      </c>
      <c r="D101" s="1"/>
      <c r="E101" s="2" t="e">
        <f>D101/$D$103</f>
        <v>#DIV/0!</v>
      </c>
      <c r="F101" s="1"/>
      <c r="G101" s="2" t="e">
        <f>F101/$D$103</f>
        <v>#DIV/0!</v>
      </c>
      <c r="H101" s="2" t="e">
        <f t="shared" si="49"/>
        <v>#DIV/0!</v>
      </c>
      <c r="I101" s="1"/>
      <c r="J101" s="2" t="e">
        <f>I101/$D$103</f>
        <v>#DIV/0!</v>
      </c>
      <c r="K101" s="2" t="e">
        <f t="shared" si="51"/>
        <v>#DIV/0!</v>
      </c>
    </row>
    <row r="102" spans="1:11" x14ac:dyDescent="0.4">
      <c r="A102">
        <v>5455</v>
      </c>
      <c r="B102" t="s">
        <v>84</v>
      </c>
      <c r="E102" s="2" t="e">
        <f>D102/$D$103</f>
        <v>#DIV/0!</v>
      </c>
      <c r="G102" s="2" t="e">
        <f>F102/$D$103</f>
        <v>#DIV/0!</v>
      </c>
      <c r="H102" s="2" t="e">
        <f t="shared" si="49"/>
        <v>#DIV/0!</v>
      </c>
      <c r="J102" s="2" t="e">
        <f>I102/$D$103</f>
        <v>#DIV/0!</v>
      </c>
      <c r="K102" s="2" t="e">
        <f t="shared" si="51"/>
        <v>#DIV/0!</v>
      </c>
    </row>
    <row r="103" spans="1:11" x14ac:dyDescent="0.4">
      <c r="C103" t="s">
        <v>84</v>
      </c>
      <c r="D103" s="1">
        <f>SUM(D101:D102)</f>
        <v>0</v>
      </c>
      <c r="E103" s="2" t="e">
        <f>SUM(E101:E102)</f>
        <v>#DIV/0!</v>
      </c>
      <c r="F103" s="1">
        <f>SUM(F101:F102)</f>
        <v>0</v>
      </c>
      <c r="G103" s="2" t="e">
        <f>SUM(G101:G102)</f>
        <v>#DIV/0!</v>
      </c>
      <c r="H103" s="2" t="e">
        <f t="shared" si="49"/>
        <v>#DIV/0!</v>
      </c>
      <c r="I103" s="1">
        <f>SUM(I101:I102)</f>
        <v>0</v>
      </c>
      <c r="J103" s="2" t="e">
        <f>SUM(J101:J102)</f>
        <v>#DIV/0!</v>
      </c>
      <c r="K103" s="2" t="e">
        <f t="shared" si="51"/>
        <v>#DIV/0!</v>
      </c>
    </row>
    <row r="104" spans="1:11" x14ac:dyDescent="0.4">
      <c r="A104">
        <v>6234</v>
      </c>
      <c r="B104" t="s">
        <v>85</v>
      </c>
      <c r="D104" s="1"/>
      <c r="E104" s="2" t="e">
        <f>D104/$D$108</f>
        <v>#DIV/0!</v>
      </c>
      <c r="F104" s="1"/>
      <c r="G104" s="2" t="e">
        <f>F104/$D$108</f>
        <v>#DIV/0!</v>
      </c>
      <c r="H104" s="2" t="e">
        <f t="shared" si="49"/>
        <v>#DIV/0!</v>
      </c>
      <c r="I104" s="1"/>
      <c r="J104" s="2" t="e">
        <f>I104/$D$108</f>
        <v>#DIV/0!</v>
      </c>
      <c r="K104" s="2" t="e">
        <f t="shared" si="51"/>
        <v>#DIV/0!</v>
      </c>
    </row>
    <row r="105" spans="1:11" x14ac:dyDescent="0.4">
      <c r="A105">
        <v>6215</v>
      </c>
      <c r="B105" t="s">
        <v>86</v>
      </c>
      <c r="D105" s="1"/>
      <c r="E105" s="2" t="e">
        <f t="shared" ref="E105:G107" si="79">D105/$D$108</f>
        <v>#DIV/0!</v>
      </c>
      <c r="F105" s="1"/>
      <c r="G105" s="2" t="e">
        <f t="shared" si="79"/>
        <v>#DIV/0!</v>
      </c>
      <c r="H105" s="2" t="e">
        <f t="shared" si="49"/>
        <v>#DIV/0!</v>
      </c>
      <c r="I105" s="1"/>
      <c r="J105" s="2" t="e">
        <f t="shared" ref="J105" si="80">I105/$D$108</f>
        <v>#DIV/0!</v>
      </c>
      <c r="K105" s="2" t="e">
        <f t="shared" si="51"/>
        <v>#DIV/0!</v>
      </c>
    </row>
    <row r="106" spans="1:11" x14ac:dyDescent="0.4">
      <c r="A106">
        <v>5468</v>
      </c>
      <c r="B106" t="s">
        <v>85</v>
      </c>
      <c r="E106" s="2" t="e">
        <f t="shared" si="79"/>
        <v>#DIV/0!</v>
      </c>
      <c r="G106" s="2" t="e">
        <f t="shared" si="79"/>
        <v>#DIV/0!</v>
      </c>
      <c r="H106" s="2" t="e">
        <f t="shared" si="49"/>
        <v>#DIV/0!</v>
      </c>
      <c r="J106" s="2" t="e">
        <f t="shared" ref="J106" si="81">I106/$D$108</f>
        <v>#DIV/0!</v>
      </c>
      <c r="K106" s="2" t="e">
        <f t="shared" si="51"/>
        <v>#DIV/0!</v>
      </c>
    </row>
    <row r="107" spans="1:11" x14ac:dyDescent="0.4">
      <c r="A107">
        <v>5458</v>
      </c>
      <c r="B107" t="s">
        <v>87</v>
      </c>
      <c r="E107" s="2" t="e">
        <f t="shared" si="79"/>
        <v>#DIV/0!</v>
      </c>
      <c r="G107" s="2" t="e">
        <f t="shared" si="79"/>
        <v>#DIV/0!</v>
      </c>
      <c r="H107" s="2" t="e">
        <f t="shared" si="49"/>
        <v>#DIV/0!</v>
      </c>
      <c r="J107" s="2" t="e">
        <f t="shared" ref="J107" si="82">I107/$D$108</f>
        <v>#DIV/0!</v>
      </c>
      <c r="K107" s="2" t="e">
        <f t="shared" si="51"/>
        <v>#DIV/0!</v>
      </c>
    </row>
    <row r="108" spans="1:11" x14ac:dyDescent="0.4">
      <c r="C108" t="s">
        <v>88</v>
      </c>
      <c r="D108" s="1">
        <f>SUM(D104:D107)</f>
        <v>0</v>
      </c>
      <c r="E108" s="2">
        <v>1</v>
      </c>
      <c r="F108" s="1">
        <f>SUM(F104:F107)</f>
        <v>0</v>
      </c>
      <c r="G108" s="2">
        <v>1</v>
      </c>
      <c r="H108" s="2"/>
      <c r="I108" s="1">
        <f>SUM(I104:I107)</f>
        <v>0</v>
      </c>
      <c r="J108" s="2">
        <v>1</v>
      </c>
      <c r="K108" s="2"/>
    </row>
    <row r="109" spans="1:11" x14ac:dyDescent="0.4">
      <c r="A109">
        <v>6216</v>
      </c>
      <c r="B109" t="s">
        <v>31</v>
      </c>
      <c r="D109" s="1"/>
      <c r="E109" s="2" t="e">
        <f>D109/$D$112</f>
        <v>#DIV/0!</v>
      </c>
      <c r="F109" s="1"/>
      <c r="G109" s="2" t="e">
        <f>F109/$D$112</f>
        <v>#DIV/0!</v>
      </c>
      <c r="H109" s="2" t="e">
        <f t="shared" si="49"/>
        <v>#DIV/0!</v>
      </c>
      <c r="I109" s="1"/>
      <c r="J109" s="2" t="e">
        <f>I109/$D$112</f>
        <v>#DIV/0!</v>
      </c>
      <c r="K109" s="2" t="e">
        <f t="shared" si="51"/>
        <v>#DIV/0!</v>
      </c>
    </row>
    <row r="110" spans="1:11" x14ac:dyDescent="0.4">
      <c r="A110">
        <v>6224</v>
      </c>
      <c r="B110" t="s">
        <v>89</v>
      </c>
      <c r="D110" s="1"/>
      <c r="E110" s="2" t="e">
        <f t="shared" ref="E110:G111" si="83">D110/$D$112</f>
        <v>#DIV/0!</v>
      </c>
      <c r="F110" s="1"/>
      <c r="G110" s="2" t="e">
        <f t="shared" si="83"/>
        <v>#DIV/0!</v>
      </c>
      <c r="H110" s="2" t="e">
        <f t="shared" si="49"/>
        <v>#DIV/0!</v>
      </c>
      <c r="I110" s="1"/>
      <c r="J110" s="2" t="e">
        <f t="shared" ref="J110" si="84">I110/$D$112</f>
        <v>#DIV/0!</v>
      </c>
      <c r="K110" s="2" t="e">
        <f t="shared" si="51"/>
        <v>#DIV/0!</v>
      </c>
    </row>
    <row r="111" spans="1:11" x14ac:dyDescent="0.4">
      <c r="A111">
        <v>5459</v>
      </c>
      <c r="B111" t="s">
        <v>89</v>
      </c>
      <c r="E111" s="2" t="e">
        <f t="shared" si="83"/>
        <v>#DIV/0!</v>
      </c>
      <c r="G111" s="2" t="e">
        <f t="shared" si="83"/>
        <v>#DIV/0!</v>
      </c>
      <c r="H111" s="2" t="e">
        <f t="shared" si="49"/>
        <v>#DIV/0!</v>
      </c>
      <c r="I111" s="1"/>
      <c r="J111" s="2" t="e">
        <f t="shared" ref="J111" si="85">I111/$D$112</f>
        <v>#DIV/0!</v>
      </c>
      <c r="K111" s="2" t="e">
        <f t="shared" si="51"/>
        <v>#DIV/0!</v>
      </c>
    </row>
    <row r="112" spans="1:11" x14ac:dyDescent="0.4">
      <c r="C112" t="s">
        <v>90</v>
      </c>
      <c r="D112" s="1">
        <f>SUM(D109:D111)</f>
        <v>0</v>
      </c>
      <c r="E112" s="2" t="e">
        <f>SUM(E109:E111)</f>
        <v>#DIV/0!</v>
      </c>
      <c r="F112" s="1">
        <f>SUM(F109:F111)</f>
        <v>0</v>
      </c>
      <c r="G112" s="2" t="e">
        <f>SUM(G109:G111)</f>
        <v>#DIV/0!</v>
      </c>
      <c r="H112" s="2" t="e">
        <f t="shared" si="49"/>
        <v>#DIV/0!</v>
      </c>
      <c r="I112" s="1">
        <f>SUM(I109:I111)</f>
        <v>0</v>
      </c>
      <c r="J112" s="2" t="e">
        <f>SUM(J109:J111)</f>
        <v>#DIV/0!</v>
      </c>
      <c r="K112" s="2" t="e">
        <f t="shared" si="51"/>
        <v>#DIV/0!</v>
      </c>
    </row>
    <row r="113" spans="1:11" x14ac:dyDescent="0.4">
      <c r="C113" t="s">
        <v>91</v>
      </c>
      <c r="D113" s="1">
        <f>D108+D112</f>
        <v>0</v>
      </c>
      <c r="F113" s="1">
        <f>F108+F112</f>
        <v>0</v>
      </c>
      <c r="H113" s="2"/>
      <c r="I113" s="1">
        <f>I108+I112</f>
        <v>0</v>
      </c>
      <c r="K113" s="2"/>
    </row>
    <row r="114" spans="1:11" x14ac:dyDescent="0.4">
      <c r="C114" t="s">
        <v>92</v>
      </c>
      <c r="D114" s="1">
        <f>D100-D103-D113</f>
        <v>0</v>
      </c>
      <c r="E114" s="2" t="e">
        <f>D114/D7</f>
        <v>#DIV/0!</v>
      </c>
      <c r="F114" s="1">
        <f>F100-F103-F113</f>
        <v>0</v>
      </c>
      <c r="G114" s="2" t="e">
        <f>F114/F7</f>
        <v>#DIV/0!</v>
      </c>
      <c r="H114" s="2" t="e">
        <f t="shared" si="49"/>
        <v>#DIV/0!</v>
      </c>
      <c r="I114" s="1">
        <f>I100-I103-I113</f>
        <v>0</v>
      </c>
      <c r="J114" s="2" t="e">
        <f>I114/I7</f>
        <v>#DIV/0!</v>
      </c>
      <c r="K114" s="2" t="e">
        <f t="shared" si="51"/>
        <v>#DIV/0!</v>
      </c>
    </row>
    <row r="115" spans="1:11" x14ac:dyDescent="0.4">
      <c r="A115">
        <v>7000</v>
      </c>
      <c r="B115" t="s">
        <v>93</v>
      </c>
      <c r="D115" s="1">
        <f>D114</f>
        <v>0</v>
      </c>
      <c r="E115" s="2" t="e">
        <f>D115/D7</f>
        <v>#DIV/0!</v>
      </c>
      <c r="F115" s="1">
        <f>F114</f>
        <v>0</v>
      </c>
      <c r="G115" s="2" t="e">
        <f>F115/F7</f>
        <v>#DIV/0!</v>
      </c>
      <c r="H115" s="2" t="e">
        <f t="shared" si="49"/>
        <v>#DIV/0!</v>
      </c>
      <c r="I115" s="1">
        <f>I114</f>
        <v>0</v>
      </c>
      <c r="J115" s="2" t="e">
        <f>I115/I7</f>
        <v>#DIV/0!</v>
      </c>
      <c r="K115" s="2" t="e">
        <f t="shared" si="51"/>
        <v>#DIV/0!</v>
      </c>
    </row>
    <row r="116" spans="1:11" x14ac:dyDescent="0.4">
      <c r="A116">
        <v>8311</v>
      </c>
      <c r="B116" t="s">
        <v>94</v>
      </c>
      <c r="F116" s="1">
        <f>INT(F115*0.3/1000)*1000</f>
        <v>0</v>
      </c>
      <c r="I116" s="1">
        <f>INT(I115*0.3/1000)*1000</f>
        <v>0</v>
      </c>
    </row>
    <row r="117" spans="1:11" x14ac:dyDescent="0.4">
      <c r="A117">
        <v>9111</v>
      </c>
      <c r="B117" t="s">
        <v>95</v>
      </c>
      <c r="F117" s="1">
        <f>F115-F116</f>
        <v>0</v>
      </c>
      <c r="I117" s="1">
        <f>I115-I116</f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継続MAS参考エクセル　製造原価使う版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漆山　淳哉</dc:creator>
  <cp:lastModifiedBy>漆山　淳哉</cp:lastModifiedBy>
  <dcterms:created xsi:type="dcterms:W3CDTF">2025-06-15T08:13:21Z</dcterms:created>
  <dcterms:modified xsi:type="dcterms:W3CDTF">2026-03-09T07:27:15Z</dcterms:modified>
</cp:coreProperties>
</file>